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noco-my.sharepoint.com/personal/muhamad_sabar_sonoco_com/Documents/Desktop/DummyData/"/>
    </mc:Choice>
  </mc:AlternateContent>
  <xr:revisionPtr revIDLastSave="0" documentId="8_{4EE4BD92-F419-4387-9F61-0242A3E941D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S Form" sheetId="1" r:id="rId1"/>
  </sheets>
  <externalReferences>
    <externalReference r:id="rId2"/>
  </externalReferences>
  <definedNames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74" i="1" l="1"/>
  <c r="Q74" i="1"/>
  <c r="L74" i="1"/>
  <c r="R73" i="1"/>
  <c r="L73" i="1"/>
  <c r="Q73" i="1" s="1"/>
  <c r="S73" i="1" s="1"/>
  <c r="R72" i="1"/>
  <c r="L72" i="1"/>
  <c r="Q72" i="1" s="1"/>
  <c r="S72" i="1" s="1"/>
  <c r="P71" i="1"/>
  <c r="M71" i="1"/>
  <c r="R70" i="1"/>
  <c r="L70" i="1"/>
  <c r="Q70" i="1" s="1"/>
  <c r="R69" i="1"/>
  <c r="L69" i="1"/>
  <c r="Q69" i="1" s="1"/>
  <c r="R68" i="1"/>
  <c r="Q68" i="1"/>
  <c r="S67" i="1" s="1"/>
  <c r="L68" i="1"/>
  <c r="R67" i="1"/>
  <c r="R71" i="1" s="1"/>
  <c r="Q67" i="1"/>
  <c r="L67" i="1"/>
  <c r="R66" i="1"/>
  <c r="Q66" i="1"/>
  <c r="S66" i="1" s="1"/>
  <c r="P66" i="1"/>
  <c r="M66" i="1"/>
  <c r="S65" i="1"/>
  <c r="R65" i="1"/>
  <c r="Q65" i="1"/>
  <c r="L65" i="1"/>
  <c r="P64" i="1"/>
  <c r="M64" i="1"/>
  <c r="R63" i="1"/>
  <c r="L63" i="1"/>
  <c r="Q63" i="1" s="1"/>
  <c r="R62" i="1"/>
  <c r="Q62" i="1"/>
  <c r="L62" i="1"/>
  <c r="R61" i="1"/>
  <c r="Q61" i="1"/>
  <c r="L61" i="1"/>
  <c r="R60" i="1"/>
  <c r="L60" i="1"/>
  <c r="Q60" i="1" s="1"/>
  <c r="R59" i="1"/>
  <c r="L59" i="1"/>
  <c r="Q59" i="1" s="1"/>
  <c r="R58" i="1"/>
  <c r="R64" i="1" s="1"/>
  <c r="L58" i="1"/>
  <c r="Q58" i="1" s="1"/>
  <c r="P57" i="1"/>
  <c r="M57" i="1"/>
  <c r="R56" i="1"/>
  <c r="L56" i="1"/>
  <c r="Q56" i="1" s="1"/>
  <c r="R55" i="1"/>
  <c r="L55" i="1"/>
  <c r="Q55" i="1" s="1"/>
  <c r="R54" i="1"/>
  <c r="Q54" i="1"/>
  <c r="L54" i="1"/>
  <c r="R53" i="1"/>
  <c r="L53" i="1"/>
  <c r="Q53" i="1" s="1"/>
  <c r="R52" i="1"/>
  <c r="R57" i="1" s="1"/>
  <c r="L52" i="1"/>
  <c r="Q52" i="1" s="1"/>
  <c r="P51" i="1"/>
  <c r="M51" i="1"/>
  <c r="R50" i="1"/>
  <c r="L50" i="1"/>
  <c r="Q50" i="1" s="1"/>
  <c r="R49" i="1"/>
  <c r="R51" i="1" s="1"/>
  <c r="L49" i="1"/>
  <c r="Q49" i="1" s="1"/>
  <c r="P48" i="1"/>
  <c r="M48" i="1"/>
  <c r="R47" i="1"/>
  <c r="L47" i="1"/>
  <c r="Q47" i="1" s="1"/>
  <c r="R46" i="1"/>
  <c r="L46" i="1"/>
  <c r="Q46" i="1" s="1"/>
  <c r="R45" i="1"/>
  <c r="L45" i="1"/>
  <c r="Q45" i="1" s="1"/>
  <c r="R44" i="1"/>
  <c r="Q44" i="1"/>
  <c r="L44" i="1"/>
  <c r="R43" i="1"/>
  <c r="L43" i="1"/>
  <c r="Q43" i="1" s="1"/>
  <c r="R42" i="1"/>
  <c r="L42" i="1"/>
  <c r="Q42" i="1" s="1"/>
  <c r="R41" i="1"/>
  <c r="L41" i="1"/>
  <c r="Q41" i="1" s="1"/>
  <c r="R40" i="1"/>
  <c r="R48" i="1" s="1"/>
  <c r="L40" i="1"/>
  <c r="Q40" i="1" s="1"/>
  <c r="P39" i="1"/>
  <c r="M39" i="1"/>
  <c r="R38" i="1"/>
  <c r="L38" i="1"/>
  <c r="Q38" i="1" s="1"/>
  <c r="R37" i="1"/>
  <c r="L37" i="1"/>
  <c r="Q37" i="1" s="1"/>
  <c r="R36" i="1"/>
  <c r="Q36" i="1"/>
  <c r="L36" i="1"/>
  <c r="R35" i="1"/>
  <c r="L35" i="1"/>
  <c r="Q35" i="1" s="1"/>
  <c r="R34" i="1"/>
  <c r="L34" i="1"/>
  <c r="Q34" i="1" s="1"/>
  <c r="R33" i="1"/>
  <c r="L33" i="1"/>
  <c r="Q33" i="1" s="1"/>
  <c r="R32" i="1"/>
  <c r="L32" i="1"/>
  <c r="Q32" i="1" s="1"/>
  <c r="R31" i="1"/>
  <c r="L31" i="1"/>
  <c r="Q31" i="1" s="1"/>
  <c r="R30" i="1"/>
  <c r="L30" i="1"/>
  <c r="Q30" i="1" s="1"/>
  <c r="R29" i="1"/>
  <c r="L29" i="1"/>
  <c r="Q29" i="1" s="1"/>
  <c r="R28" i="1"/>
  <c r="R39" i="1" s="1"/>
  <c r="L28" i="1"/>
  <c r="Q28" i="1" s="1"/>
  <c r="P27" i="1"/>
  <c r="M27" i="1"/>
  <c r="R26" i="1"/>
  <c r="L26" i="1"/>
  <c r="Q26" i="1" s="1"/>
  <c r="R25" i="1"/>
  <c r="L25" i="1"/>
  <c r="Q25" i="1" s="1"/>
  <c r="R24" i="1"/>
  <c r="L24" i="1"/>
  <c r="Q24" i="1" s="1"/>
  <c r="R23" i="1"/>
  <c r="L23" i="1"/>
  <c r="Q23" i="1" s="1"/>
  <c r="R22" i="1"/>
  <c r="R27" i="1" s="1"/>
  <c r="L22" i="1"/>
  <c r="Q22" i="1" s="1"/>
  <c r="R21" i="1"/>
  <c r="L21" i="1"/>
  <c r="Q21" i="1" s="1"/>
  <c r="R20" i="1"/>
  <c r="P20" i="1"/>
  <c r="M20" i="1"/>
  <c r="R19" i="1"/>
  <c r="L19" i="1"/>
  <c r="Q19" i="1" s="1"/>
  <c r="R18" i="1"/>
  <c r="L18" i="1"/>
  <c r="Q18" i="1" s="1"/>
  <c r="R17" i="1"/>
  <c r="L17" i="1"/>
  <c r="Q17" i="1" s="1"/>
  <c r="R16" i="1"/>
  <c r="L16" i="1"/>
  <c r="Q16" i="1" s="1"/>
  <c r="R15" i="1"/>
  <c r="L15" i="1"/>
  <c r="Q15" i="1" s="1"/>
  <c r="R14" i="1"/>
  <c r="L14" i="1"/>
  <c r="Q14" i="1" s="1"/>
  <c r="P13" i="1"/>
  <c r="M13" i="1"/>
  <c r="M75" i="1" s="1"/>
  <c r="R12" i="1"/>
  <c r="Q12" i="1"/>
  <c r="L12" i="1"/>
  <c r="R11" i="1"/>
  <c r="L11" i="1"/>
  <c r="Q11" i="1" s="1"/>
  <c r="R10" i="1"/>
  <c r="L10" i="1"/>
  <c r="Q10" i="1" s="1"/>
  <c r="R9" i="1"/>
  <c r="L9" i="1"/>
  <c r="Q9" i="1" s="1"/>
  <c r="R8" i="1"/>
  <c r="L8" i="1"/>
  <c r="Q8" i="1" s="1"/>
  <c r="R7" i="1"/>
  <c r="R13" i="1" s="1"/>
  <c r="L7" i="1"/>
  <c r="Q7" i="1" s="1"/>
  <c r="R6" i="1"/>
  <c r="L6" i="1"/>
  <c r="Q6" i="1" s="1"/>
  <c r="Q39" i="1" l="1"/>
  <c r="S39" i="1" s="1"/>
  <c r="S28" i="1"/>
  <c r="Q64" i="1"/>
  <c r="S64" i="1" s="1"/>
  <c r="S58" i="1"/>
  <c r="Q13" i="1"/>
  <c r="S13" i="1" s="1"/>
  <c r="S6" i="1"/>
  <c r="Q51" i="1"/>
  <c r="S51" i="1" s="1"/>
  <c r="S49" i="1"/>
  <c r="Q27" i="1"/>
  <c r="S27" i="1" s="1"/>
  <c r="S21" i="1"/>
  <c r="S52" i="1"/>
  <c r="Q57" i="1"/>
  <c r="S57" i="1" s="1"/>
  <c r="Q20" i="1"/>
  <c r="S20" i="1" s="1"/>
  <c r="S14" i="1"/>
  <c r="T66" i="1"/>
  <c r="V66" i="1" s="1"/>
  <c r="U66" i="1"/>
  <c r="Q71" i="1"/>
  <c r="S71" i="1" s="1"/>
  <c r="Q48" i="1"/>
  <c r="S48" i="1" s="1"/>
  <c r="S40" i="1"/>
  <c r="L75" i="1"/>
  <c r="U20" i="1" l="1"/>
  <c r="T20" i="1"/>
  <c r="V20" i="1" s="1"/>
  <c r="U51" i="1"/>
  <c r="T51" i="1"/>
  <c r="V51" i="1" s="1"/>
  <c r="U64" i="1"/>
  <c r="T64" i="1"/>
  <c r="V64" i="1" s="1"/>
  <c r="W66" i="1"/>
  <c r="X66" i="1"/>
  <c r="U57" i="1"/>
  <c r="T57" i="1"/>
  <c r="V57" i="1" s="1"/>
  <c r="T13" i="1"/>
  <c r="V13" i="1" s="1"/>
  <c r="U13" i="1"/>
  <c r="T27" i="1"/>
  <c r="V27" i="1" s="1"/>
  <c r="U27" i="1"/>
  <c r="U48" i="1"/>
  <c r="T48" i="1"/>
  <c r="V48" i="1" s="1"/>
  <c r="U71" i="1"/>
  <c r="T71" i="1"/>
  <c r="V71" i="1" s="1"/>
  <c r="U39" i="1"/>
  <c r="T39" i="1"/>
  <c r="V39" i="1" s="1"/>
  <c r="X27" i="1" l="1"/>
  <c r="W27" i="1"/>
  <c r="X13" i="1"/>
  <c r="W13" i="1"/>
  <c r="W57" i="1"/>
  <c r="X57" i="1"/>
  <c r="X64" i="1"/>
  <c r="W64" i="1"/>
  <c r="X48" i="1"/>
  <c r="W48" i="1"/>
  <c r="W39" i="1"/>
  <c r="X39" i="1"/>
  <c r="X51" i="1"/>
  <c r="W51" i="1"/>
  <c r="X71" i="1"/>
  <c r="W71" i="1"/>
  <c r="W20" i="1"/>
  <c r="X20" i="1"/>
</calcChain>
</file>

<file path=xl/sharedStrings.xml><?xml version="1.0" encoding="utf-8"?>
<sst xmlns="http://schemas.openxmlformats.org/spreadsheetml/2006/main" count="488" uniqueCount="190">
  <si>
    <t>di lock</t>
  </si>
  <si>
    <t>Kedatangan Truck</t>
  </si>
  <si>
    <t>Nama Customer</t>
  </si>
  <si>
    <t>Area</t>
  </si>
  <si>
    <t>Urutan Bongkar</t>
  </si>
  <si>
    <t>No SO</t>
  </si>
  <si>
    <t>MID</t>
  </si>
  <si>
    <t>Item Desc</t>
  </si>
  <si>
    <t>Color</t>
  </si>
  <si>
    <t>Pattern Nose</t>
  </si>
  <si>
    <t>Qty/(Box/pallet)</t>
  </si>
  <si>
    <t>Qty/Pcs</t>
  </si>
  <si>
    <t>Qty Box / pallet</t>
  </si>
  <si>
    <t>Status</t>
  </si>
  <si>
    <t>Waktu Muat</t>
  </si>
  <si>
    <t>BERAT TOTAL (Kg)</t>
  </si>
  <si>
    <t>BERAT box (Kg)</t>
  </si>
  <si>
    <t>BERAT ISI TRUCK</t>
  </si>
  <si>
    <t>NORMAL</t>
  </si>
  <si>
    <t>TOLERANSI</t>
  </si>
  <si>
    <t>WARNING</t>
  </si>
  <si>
    <t>type</t>
  </si>
  <si>
    <t>weight</t>
  </si>
  <si>
    <t>Min</t>
  </si>
  <si>
    <t>Max</t>
  </si>
  <si>
    <t>Bandung</t>
  </si>
  <si>
    <t>2000063159</t>
  </si>
  <si>
    <t>142.5323.038</t>
  </si>
  <si>
    <t>Cone 5'32</t>
  </si>
  <si>
    <t>No Color</t>
  </si>
  <si>
    <t>No Pattern</t>
  </si>
  <si>
    <t>Stock Ready</t>
  </si>
  <si>
    <t>Muat Gantung</t>
  </si>
  <si>
    <t>KONDOBO  TEXTINDO, PT.</t>
  </si>
  <si>
    <t>Subang</t>
  </si>
  <si>
    <t>2000062058</t>
  </si>
  <si>
    <t>055.5509.036</t>
  </si>
  <si>
    <t>Cone 5'57</t>
  </si>
  <si>
    <t>Brown</t>
  </si>
  <si>
    <t>Solid</t>
  </si>
  <si>
    <t>KEWALRAM INDONESIA, PT.</t>
  </si>
  <si>
    <t>2000059825</t>
  </si>
  <si>
    <t>010.3310.090</t>
  </si>
  <si>
    <t>Cone 3'30</t>
  </si>
  <si>
    <t>Netral</t>
  </si>
  <si>
    <t>Tip Solid</t>
  </si>
  <si>
    <t>2000059831</t>
  </si>
  <si>
    <t>2000060035</t>
  </si>
  <si>
    <t>010.4214.038</t>
  </si>
  <si>
    <t>Cone 4'20</t>
  </si>
  <si>
    <t>Blue</t>
  </si>
  <si>
    <t>Clubs</t>
  </si>
  <si>
    <t>2000060751</t>
  </si>
  <si>
    <t>010.4211.038</t>
  </si>
  <si>
    <t xml:space="preserve">Cone 4'20 </t>
  </si>
  <si>
    <t>Lime</t>
  </si>
  <si>
    <t>Star</t>
  </si>
  <si>
    <t>2000061305</t>
  </si>
  <si>
    <t>Green</t>
  </si>
  <si>
    <t>Cactus</t>
  </si>
  <si>
    <t>DONG-IL INDONESIA , PT.</t>
  </si>
  <si>
    <t>Bekasi</t>
  </si>
  <si>
    <t>2000062806</t>
  </si>
  <si>
    <t>137.3302.013</t>
  </si>
  <si>
    <t xml:space="preserve">Cone 3'30 </t>
  </si>
  <si>
    <t>(blank)</t>
  </si>
  <si>
    <t>TIP ECO MARATHON</t>
  </si>
  <si>
    <t>On Production</t>
  </si>
  <si>
    <t>Muat Pagi</t>
  </si>
  <si>
    <t>2000063174</t>
  </si>
  <si>
    <t>GOKAK INDONESIA, PT. Total</t>
  </si>
  <si>
    <t>Bogor</t>
  </si>
  <si>
    <t>2000062778</t>
  </si>
  <si>
    <t>041.5517.040</t>
  </si>
  <si>
    <t>Diamond</t>
  </si>
  <si>
    <t>2000061116</t>
  </si>
  <si>
    <t>041.0001.050</t>
  </si>
  <si>
    <t>Tube  50</t>
  </si>
  <si>
    <t>Full Body</t>
  </si>
  <si>
    <t>2000050965</t>
  </si>
  <si>
    <t>041.0002.050</t>
  </si>
  <si>
    <t>2000062836</t>
  </si>
  <si>
    <t>GUNZE INDONESIA,PT</t>
  </si>
  <si>
    <t>2000062857</t>
  </si>
  <si>
    <t>065.3306.030</t>
  </si>
  <si>
    <t>INDO LIBERTY TEXTILES, PT.</t>
  </si>
  <si>
    <t>Karawang</t>
  </si>
  <si>
    <t>2000061986</t>
  </si>
  <si>
    <t>032.3303.028</t>
  </si>
  <si>
    <t>White</t>
  </si>
  <si>
    <t>Ready Stock</t>
  </si>
  <si>
    <t>2000062644</t>
  </si>
  <si>
    <t>032.4217.040</t>
  </si>
  <si>
    <t>Yellow</t>
  </si>
  <si>
    <t>2000063032</t>
  </si>
  <si>
    <t>032.4202.040</t>
  </si>
  <si>
    <t>Horison</t>
  </si>
  <si>
    <t>Grey</t>
  </si>
  <si>
    <t>Violet</t>
  </si>
  <si>
    <t>4,1</t>
  </si>
  <si>
    <t>EMBEE PLUMBON TEKSTIL, PT.</t>
  </si>
  <si>
    <t>Majalengka</t>
  </si>
  <si>
    <t>2000060938</t>
  </si>
  <si>
    <t>058.4217.042</t>
  </si>
  <si>
    <t>2000061549</t>
  </si>
  <si>
    <t>Slash</t>
  </si>
  <si>
    <t>2000061853</t>
  </si>
  <si>
    <t>Orange</t>
  </si>
  <si>
    <t>2000062885</t>
  </si>
  <si>
    <t>Hearts</t>
  </si>
  <si>
    <t>2000063024</t>
  </si>
  <si>
    <t>Black</t>
  </si>
  <si>
    <t>Triangle</t>
  </si>
  <si>
    <t>PLUMBON INTERNATIONAL TEXTILE</t>
  </si>
  <si>
    <t>Cirebon</t>
  </si>
  <si>
    <t>2000062856</t>
  </si>
  <si>
    <t>251.4204.040</t>
  </si>
  <si>
    <t>2000063020</t>
  </si>
  <si>
    <t>ELEGANT TEXTILE INDUSTRY, PT.</t>
  </si>
  <si>
    <t>Purwakarta</t>
  </si>
  <si>
    <t>2000061903</t>
  </si>
  <si>
    <t>020.3306.030</t>
  </si>
  <si>
    <t>Red</t>
  </si>
  <si>
    <t>Dots</t>
  </si>
  <si>
    <t>2000062019</t>
  </si>
  <si>
    <t>2000063210</t>
  </si>
  <si>
    <t>020.3305.030</t>
  </si>
  <si>
    <t>Question</t>
  </si>
  <si>
    <t>Pink</t>
  </si>
  <si>
    <t>SUNRISE BUMI TEXTILES, PT. Total</t>
  </si>
  <si>
    <t>2000060896</t>
  </si>
  <si>
    <t>002.4215.040</t>
  </si>
  <si>
    <t>2000062932</t>
  </si>
  <si>
    <t>002.4220.040</t>
  </si>
  <si>
    <t>INDO-RAMA SYNTHETICS Jatiluhur</t>
  </si>
  <si>
    <t>2000063160</t>
  </si>
  <si>
    <t>001.4203.040</t>
  </si>
  <si>
    <t>PT. BUKIT MURIA JAYA</t>
  </si>
  <si>
    <t>2000063118</t>
  </si>
  <si>
    <t>533.0010.230</t>
  </si>
  <si>
    <t>PAPER CORE,ID152,4MM,70MM,8MM</t>
  </si>
  <si>
    <t>533.0012.237</t>
  </si>
  <si>
    <t>PAPER CORE,ID76,5MM,140MM,8MM</t>
  </si>
  <si>
    <t>CV. SINAR KARTON</t>
  </si>
  <si>
    <t>2000063162</t>
  </si>
  <si>
    <t>PEB0303031000</t>
  </si>
  <si>
    <t>EDGE BOARD 30 X 30 X 3 X 1000 MM</t>
  </si>
  <si>
    <t>KAHATEX, PT. Total</t>
  </si>
  <si>
    <t>2000063134</t>
  </si>
  <si>
    <t>003.4212.040</t>
  </si>
  <si>
    <t>Tick</t>
  </si>
  <si>
    <t>PT. SPINMILL INDAH INDUSTRY Total</t>
  </si>
  <si>
    <t>Tangerang</t>
  </si>
  <si>
    <t>2000062145</t>
  </si>
  <si>
    <t>116.4217.042</t>
  </si>
  <si>
    <t>2000062784</t>
  </si>
  <si>
    <t>2000063063</t>
  </si>
  <si>
    <t>2000063064</t>
  </si>
  <si>
    <t>GEMILANG MAJU TEXINDOTAMA, PT.</t>
  </si>
  <si>
    <t>2000062158</t>
  </si>
  <si>
    <t>174.0002.067</t>
  </si>
  <si>
    <t>Tube  67</t>
  </si>
  <si>
    <t>Tunas Mitra Sukses PT</t>
  </si>
  <si>
    <t>2000063122</t>
  </si>
  <si>
    <t>PEB0505032400</t>
  </si>
  <si>
    <t>EDGE BOARD 50 X 50 X 3 X 2400 MM</t>
  </si>
  <si>
    <t xml:space="preserve">PT. KARYA PUTRA SUKSES </t>
  </si>
  <si>
    <t>Jakarta Barat</t>
  </si>
  <si>
    <t>2000063103</t>
  </si>
  <si>
    <t>PEB0505030122</t>
  </si>
  <si>
    <t>EDGE BOARD 50 X 50 X 3 X 122 MM</t>
  </si>
  <si>
    <t>PEB0505030140</t>
  </si>
  <si>
    <t>EDGE BOARD 50 X 50 X 3 X 140 MM</t>
  </si>
  <si>
    <t>PEB0505030188</t>
  </si>
  <si>
    <t>EDGE BOARD 50 X 50 X 3 X 188 MM</t>
  </si>
  <si>
    <t>PEB0505030207</t>
  </si>
  <si>
    <t>EDGE BOARD 50 X 50 X 3 X 207 MM</t>
  </si>
  <si>
    <t>SINERGI ANDALAN MADANI</t>
  </si>
  <si>
    <t>Cileungsi</t>
  </si>
  <si>
    <t>2000062952</t>
  </si>
  <si>
    <t>PEB0505051000</t>
  </si>
  <si>
    <t>EDGE BOARD 50 X 50 X 5 X 1000 MM</t>
  </si>
  <si>
    <t>2000063070</t>
  </si>
  <si>
    <t>PEC0404032140</t>
  </si>
  <si>
    <t>EDGE BOARD 40 X 40 X 3 X 2140 MM</t>
  </si>
  <si>
    <t>PEC0404032300</t>
  </si>
  <si>
    <t>EDGE BOARD 40 X 40 X 3 X 2300 MM</t>
  </si>
  <si>
    <t xml:space="preserve">TOTAL </t>
  </si>
  <si>
    <t>06/17/2026</t>
  </si>
  <si>
    <t>AMERICA COTTON INDUSTRY, 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</si>
</sst>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-* #,##0_-;\-* #,##0_-;_-* \-_-;_-@_-"/>
    <numFmt numFmtId="166" formatCode="_(* #,##0_);_(* \(#,##0\);_(* \-??_);_(@_)"/>
  </numFmts>
  <fonts count="15" x14ac:knownFonts="1">
    <font>
      <sz val="11"/>
      <color theme="1"/>
      <name val="Aptos Narrow"/>
      <family val="2"/>
      <charset val="1"/>
    </font>
    <font>
      <sz val="8"/>
      <color theme="1"/>
      <name val="Calibri"/>
      <family val="2"/>
      <charset val="1"/>
    </font>
    <font>
      <sz val="1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8"/>
      <color theme="1"/>
      <name val="Aptos Narrow"/>
      <family val="2"/>
      <charset val="1"/>
    </font>
    <font>
      <sz val="9"/>
      <color theme="1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9"/>
      <color theme="1"/>
      <name val="Calibri"/>
      <family val="2"/>
      <charset val="1"/>
    </font>
    <font>
      <sz val="6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b/>
      <sz val="6"/>
      <color theme="1"/>
      <name val="Calibri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A6CAEC"/>
      </patternFill>
    </fill>
    <fill>
      <patternFill patternType="solid">
        <fgColor theme="3" tint="0.74987029633472702"/>
        <bgColor rgb="FF9CC2E5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969696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4" fillId="0" borderId="0" applyBorder="0" applyProtection="0"/>
    <xf numFmtId="165" fontId="14" fillId="0" borderId="0" applyBorder="0" applyProtection="0"/>
    <xf numFmtId="0" fontId="14" fillId="0" borderId="0"/>
    <xf numFmtId="0" fontId="14" fillId="0" borderId="0"/>
  </cellStyleXfs>
  <cellXfs count="128">
    <xf numFmtId="0" fontId="0" fillId="0" borderId="0" xfId="0"/>
    <xf numFmtId="0" fontId="1" fillId="0" borderId="10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0" fontId="14" fillId="0" borderId="0" xfId="4"/>
    <xf numFmtId="0" fontId="14" fillId="0" borderId="0" xfId="4" applyAlignment="1">
      <alignment horizontal="center"/>
    </xf>
    <xf numFmtId="166" fontId="14" fillId="0" borderId="0" xfId="1" applyNumberFormat="1" applyBorder="1" applyProtection="1"/>
    <xf numFmtId="0" fontId="3" fillId="4" borderId="6" xfId="4" applyFont="1" applyFill="1" applyBorder="1" applyAlignment="1">
      <alignment horizontal="center" vertical="center" wrapText="1"/>
    </xf>
    <xf numFmtId="0" fontId="3" fillId="4" borderId="7" xfId="4" applyFont="1" applyFill="1" applyBorder="1" applyAlignment="1">
      <alignment horizontal="center" vertical="center" wrapText="1"/>
    </xf>
    <xf numFmtId="166" fontId="6" fillId="5" borderId="2" xfId="1" applyNumberFormat="1" applyFont="1" applyFill="1" applyBorder="1" applyAlignment="1" applyProtection="1">
      <alignment horizontal="center"/>
    </xf>
    <xf numFmtId="166" fontId="6" fillId="5" borderId="8" xfId="1" applyNumberFormat="1" applyFont="1" applyFill="1" applyBorder="1" applyAlignment="1" applyProtection="1">
      <alignment horizontal="center"/>
    </xf>
    <xf numFmtId="166" fontId="7" fillId="3" borderId="2" xfId="1" applyNumberFormat="1" applyFont="1" applyFill="1" applyBorder="1" applyAlignment="1" applyProtection="1">
      <alignment horizontal="center" vertical="center"/>
    </xf>
    <xf numFmtId="0" fontId="1" fillId="2" borderId="9" xfId="4" applyFont="1" applyFill="1" applyBorder="1" applyAlignment="1">
      <alignment horizontal="center" vertical="center"/>
    </xf>
    <xf numFmtId="0" fontId="1" fillId="0" borderId="10" xfId="4" applyFont="1" applyBorder="1" applyAlignment="1">
      <alignment horizontal="left" vertical="center"/>
    </xf>
    <xf numFmtId="165" fontId="1" fillId="0" borderId="10" xfId="2" applyFont="1" applyBorder="1" applyAlignment="1" applyProtection="1">
      <alignment horizontal="center" vertical="center"/>
    </xf>
    <xf numFmtId="0" fontId="1" fillId="7" borderId="10" xfId="4" applyFont="1" applyFill="1" applyBorder="1" applyAlignment="1">
      <alignment horizontal="left" vertical="center"/>
    </xf>
    <xf numFmtId="0" fontId="1" fillId="0" borderId="11" xfId="4" applyFont="1" applyBorder="1" applyAlignment="1">
      <alignment horizontal="left" vertical="center"/>
    </xf>
    <xf numFmtId="165" fontId="1" fillId="0" borderId="2" xfId="4" applyNumberFormat="1" applyFont="1" applyBorder="1"/>
    <xf numFmtId="166" fontId="14" fillId="0" borderId="6" xfId="1" applyNumberFormat="1" applyBorder="1" applyProtection="1"/>
    <xf numFmtId="166" fontId="14" fillId="0" borderId="7" xfId="1" applyNumberFormat="1" applyBorder="1" applyProtection="1"/>
    <xf numFmtId="0" fontId="1" fillId="2" borderId="12" xfId="4" applyFont="1" applyFill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1" fillId="0" borderId="2" xfId="4" applyFont="1" applyBorder="1" applyAlignment="1">
      <alignment horizontal="center" vertical="center"/>
    </xf>
    <xf numFmtId="0" fontId="1" fillId="0" borderId="2" xfId="4" applyFont="1" applyBorder="1" applyAlignment="1">
      <alignment horizontal="left" vertical="center"/>
    </xf>
    <xf numFmtId="165" fontId="1" fillId="0" borderId="2" xfId="2" applyFont="1" applyBorder="1" applyAlignment="1" applyProtection="1">
      <alignment horizontal="center" vertical="center"/>
    </xf>
    <xf numFmtId="165" fontId="1" fillId="0" borderId="13" xfId="2" applyFont="1" applyBorder="1" applyAlignment="1" applyProtection="1">
      <alignment horizontal="center" vertical="center"/>
    </xf>
    <xf numFmtId="0" fontId="1" fillId="7" borderId="13" xfId="4" applyFont="1" applyFill="1" applyBorder="1" applyAlignment="1">
      <alignment horizontal="left" vertical="center"/>
    </xf>
    <xf numFmtId="0" fontId="1" fillId="0" borderId="14" xfId="4" applyFont="1" applyBorder="1" applyAlignment="1">
      <alignment horizontal="left" vertical="center"/>
    </xf>
    <xf numFmtId="0" fontId="1" fillId="7" borderId="2" xfId="4" applyFont="1" applyFill="1" applyBorder="1" applyAlignment="1">
      <alignment horizontal="left" vertical="center"/>
    </xf>
    <xf numFmtId="0" fontId="1" fillId="0" borderId="15" xfId="4" applyFont="1" applyBorder="1" applyAlignment="1">
      <alignment horizontal="left" vertical="center"/>
    </xf>
    <xf numFmtId="165" fontId="1" fillId="0" borderId="15" xfId="2" applyFont="1" applyBorder="1" applyAlignment="1" applyProtection="1">
      <alignment horizontal="center" vertical="center"/>
    </xf>
    <xf numFmtId="165" fontId="1" fillId="0" borderId="16" xfId="2" applyFont="1" applyBorder="1" applyAlignment="1" applyProtection="1">
      <alignment horizontal="center" vertical="center"/>
    </xf>
    <xf numFmtId="0" fontId="1" fillId="7" borderId="15" xfId="4" applyFont="1" applyFill="1" applyBorder="1" applyAlignment="1">
      <alignment horizontal="left" vertical="center"/>
    </xf>
    <xf numFmtId="0" fontId="1" fillId="0" borderId="17" xfId="4" applyFont="1" applyBorder="1" applyAlignment="1">
      <alignment horizontal="left" vertical="center"/>
    </xf>
    <xf numFmtId="0" fontId="9" fillId="3" borderId="18" xfId="4" applyFont="1" applyFill="1" applyBorder="1" applyAlignment="1">
      <alignment horizontal="center" vertical="center"/>
    </xf>
    <xf numFmtId="0" fontId="9" fillId="3" borderId="0" xfId="4" applyFont="1" applyFill="1" applyAlignment="1">
      <alignment horizontal="center" vertical="center"/>
    </xf>
    <xf numFmtId="0" fontId="9" fillId="3" borderId="7" xfId="4" applyFont="1" applyFill="1" applyBorder="1" applyAlignment="1">
      <alignment horizontal="center" vertical="center"/>
    </xf>
    <xf numFmtId="0" fontId="9" fillId="3" borderId="19" xfId="4" applyFont="1" applyFill="1" applyBorder="1" applyAlignment="1">
      <alignment horizontal="center" vertical="center"/>
    </xf>
    <xf numFmtId="0" fontId="9" fillId="3" borderId="19" xfId="4" applyFont="1" applyFill="1" applyBorder="1" applyAlignment="1">
      <alignment horizontal="left" vertical="center"/>
    </xf>
    <xf numFmtId="165" fontId="9" fillId="3" borderId="19" xfId="2" applyFont="1" applyFill="1" applyBorder="1" applyAlignment="1" applyProtection="1">
      <alignment horizontal="center" vertical="center"/>
    </xf>
    <xf numFmtId="0" fontId="9" fillId="3" borderId="20" xfId="4" applyFont="1" applyFill="1" applyBorder="1" applyAlignment="1">
      <alignment horizontal="left" vertical="center"/>
    </xf>
    <xf numFmtId="0" fontId="9" fillId="3" borderId="0" xfId="4" applyFont="1" applyFill="1" applyAlignment="1">
      <alignment horizontal="center"/>
    </xf>
    <xf numFmtId="165" fontId="9" fillId="3" borderId="2" xfId="4" applyNumberFormat="1" applyFont="1" applyFill="1" applyBorder="1"/>
    <xf numFmtId="165" fontId="9" fillId="3" borderId="2" xfId="4" applyNumberFormat="1" applyFont="1" applyFill="1" applyBorder="1" applyAlignment="1">
      <alignment horizontal="center" vertical="center"/>
    </xf>
    <xf numFmtId="166" fontId="9" fillId="3" borderId="2" xfId="1" applyNumberFormat="1" applyFont="1" applyFill="1" applyBorder="1" applyProtection="1"/>
    <xf numFmtId="166" fontId="10" fillId="6" borderId="2" xfId="1" applyNumberFormat="1" applyFont="1" applyFill="1" applyBorder="1" applyProtection="1"/>
    <xf numFmtId="0" fontId="1" fillId="6" borderId="10" xfId="4" applyFont="1" applyFill="1" applyBorder="1" applyAlignment="1">
      <alignment horizontal="left" vertical="center"/>
    </xf>
    <xf numFmtId="165" fontId="14" fillId="0" borderId="2" xfId="4" applyNumberFormat="1" applyBorder="1"/>
    <xf numFmtId="0" fontId="1" fillId="6" borderId="2" xfId="4" applyFont="1" applyFill="1" applyBorder="1" applyAlignment="1">
      <alignment horizontal="left" vertical="center"/>
    </xf>
    <xf numFmtId="0" fontId="1" fillId="0" borderId="21" xfId="4" applyFont="1" applyBorder="1" applyAlignment="1">
      <alignment horizontal="left" vertical="center"/>
    </xf>
    <xf numFmtId="0" fontId="1" fillId="2" borderId="22" xfId="4" applyFont="1" applyFill="1" applyBorder="1" applyAlignment="1">
      <alignment horizontal="center" vertical="center"/>
    </xf>
    <xf numFmtId="0" fontId="1" fillId="6" borderId="15" xfId="4" applyFont="1" applyFill="1" applyBorder="1" applyAlignment="1">
      <alignment horizontal="left" vertical="center"/>
    </xf>
    <xf numFmtId="0" fontId="1" fillId="0" borderId="23" xfId="4" applyFont="1" applyBorder="1" applyAlignment="1">
      <alignment horizontal="left" vertical="center"/>
    </xf>
    <xf numFmtId="0" fontId="3" fillId="3" borderId="12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3" fillId="3" borderId="19" xfId="4" applyFont="1" applyFill="1" applyBorder="1" applyAlignment="1">
      <alignment horizontal="center" vertical="center"/>
    </xf>
    <xf numFmtId="0" fontId="3" fillId="3" borderId="19" xfId="4" applyFont="1" applyFill="1" applyBorder="1" applyAlignment="1">
      <alignment horizontal="left" vertical="center"/>
    </xf>
    <xf numFmtId="165" fontId="3" fillId="3" borderId="19" xfId="2" applyFont="1" applyFill="1" applyBorder="1" applyAlignment="1" applyProtection="1">
      <alignment horizontal="center" vertical="center"/>
    </xf>
    <xf numFmtId="0" fontId="3" fillId="3" borderId="20" xfId="4" applyFont="1" applyFill="1" applyBorder="1" applyAlignment="1">
      <alignment horizontal="left" vertical="center"/>
    </xf>
    <xf numFmtId="0" fontId="12" fillId="3" borderId="0" xfId="4" applyFont="1" applyFill="1" applyAlignment="1">
      <alignment horizontal="center"/>
    </xf>
    <xf numFmtId="165" fontId="12" fillId="3" borderId="2" xfId="4" applyNumberFormat="1" applyFont="1" applyFill="1" applyBorder="1"/>
    <xf numFmtId="165" fontId="12" fillId="3" borderId="2" xfId="4" applyNumberFormat="1" applyFont="1" applyFill="1" applyBorder="1" applyAlignment="1">
      <alignment horizontal="center" vertical="center"/>
    </xf>
    <xf numFmtId="166" fontId="12" fillId="3" borderId="2" xfId="1" applyNumberFormat="1" applyFont="1" applyFill="1" applyBorder="1" applyProtection="1"/>
    <xf numFmtId="166" fontId="12" fillId="6" borderId="2" xfId="1" applyNumberFormat="1" applyFont="1" applyFill="1" applyBorder="1" applyProtection="1"/>
    <xf numFmtId="0" fontId="1" fillId="0" borderId="3" xfId="4" applyFont="1" applyBorder="1" applyAlignment="1">
      <alignment horizontal="center" vertical="center"/>
    </xf>
    <xf numFmtId="0" fontId="1" fillId="0" borderId="3" xfId="4" applyFont="1" applyBorder="1" applyAlignment="1">
      <alignment horizontal="left" vertical="center"/>
    </xf>
    <xf numFmtId="0" fontId="1" fillId="0" borderId="2" xfId="4" applyFont="1" applyBorder="1" applyAlignment="1">
      <alignment vertical="center"/>
    </xf>
    <xf numFmtId="0" fontId="1" fillId="6" borderId="2" xfId="4" applyFont="1" applyFill="1" applyBorder="1" applyAlignment="1">
      <alignment vertical="center"/>
    </xf>
    <xf numFmtId="0" fontId="1" fillId="0" borderId="21" xfId="4" applyFont="1" applyBorder="1" applyAlignment="1">
      <alignment vertical="center"/>
    </xf>
    <xf numFmtId="0" fontId="1" fillId="7" borderId="2" xfId="4" applyFont="1" applyFill="1" applyBorder="1" applyAlignment="1">
      <alignment vertical="center"/>
    </xf>
    <xf numFmtId="0" fontId="1" fillId="0" borderId="15" xfId="4" applyFont="1" applyBorder="1" applyAlignment="1">
      <alignment vertical="center"/>
    </xf>
    <xf numFmtId="0" fontId="1" fillId="7" borderId="15" xfId="4" applyFont="1" applyFill="1" applyBorder="1" applyAlignment="1">
      <alignment vertical="center"/>
    </xf>
    <xf numFmtId="0" fontId="1" fillId="0" borderId="23" xfId="4" applyFont="1" applyBorder="1" applyAlignment="1">
      <alignment vertical="center"/>
    </xf>
    <xf numFmtId="0" fontId="3" fillId="3" borderId="18" xfId="4" applyFont="1" applyFill="1" applyBorder="1" applyAlignment="1">
      <alignment horizontal="center" vertical="center"/>
    </xf>
    <xf numFmtId="0" fontId="11" fillId="3" borderId="7" xfId="4" applyFont="1" applyFill="1" applyBorder="1" applyAlignment="1">
      <alignment horizontal="center" vertical="center"/>
    </xf>
    <xf numFmtId="0" fontId="3" fillId="3" borderId="19" xfId="4" applyFont="1" applyFill="1" applyBorder="1" applyAlignment="1">
      <alignment vertical="center"/>
    </xf>
    <xf numFmtId="0" fontId="3" fillId="3" borderId="20" xfId="4" applyFont="1" applyFill="1" applyBorder="1" applyAlignment="1">
      <alignment vertical="center"/>
    </xf>
    <xf numFmtId="0" fontId="1" fillId="0" borderId="10" xfId="4" applyFont="1" applyBorder="1" applyAlignment="1">
      <alignment vertical="center"/>
    </xf>
    <xf numFmtId="0" fontId="1" fillId="7" borderId="10" xfId="4" applyFont="1" applyFill="1" applyBorder="1" applyAlignment="1">
      <alignment vertical="center"/>
    </xf>
    <xf numFmtId="0" fontId="1" fillId="0" borderId="11" xfId="4" applyFont="1" applyBorder="1" applyAlignment="1">
      <alignment vertical="center"/>
    </xf>
    <xf numFmtId="0" fontId="1" fillId="0" borderId="24" xfId="4" applyFont="1" applyBorder="1" applyAlignment="1">
      <alignment horizontal="center" vertical="center"/>
    </xf>
    <xf numFmtId="0" fontId="1" fillId="0" borderId="19" xfId="4" applyFont="1" applyBorder="1" applyAlignment="1">
      <alignment horizontal="center" vertical="center"/>
    </xf>
    <xf numFmtId="0" fontId="3" fillId="3" borderId="22" xfId="4" applyFont="1" applyFill="1" applyBorder="1" applyAlignment="1">
      <alignment horizontal="center" vertical="center"/>
    </xf>
    <xf numFmtId="0" fontId="11" fillId="3" borderId="16" xfId="4" applyFont="1" applyFill="1" applyBorder="1" applyAlignment="1">
      <alignment horizontal="center" vertical="center"/>
    </xf>
    <xf numFmtId="0" fontId="3" fillId="3" borderId="16" xfId="4" applyFont="1" applyFill="1" applyBorder="1" applyAlignment="1">
      <alignment horizontal="center" vertical="center"/>
    </xf>
    <xf numFmtId="0" fontId="3" fillId="3" borderId="16" xfId="4" applyFont="1" applyFill="1" applyBorder="1" applyAlignment="1">
      <alignment vertical="center"/>
    </xf>
    <xf numFmtId="165" fontId="3" fillId="3" borderId="16" xfId="2" applyFont="1" applyFill="1" applyBorder="1" applyAlignment="1" applyProtection="1">
      <alignment horizontal="center" vertical="center"/>
    </xf>
    <xf numFmtId="0" fontId="3" fillId="3" borderId="17" xfId="4" applyFont="1" applyFill="1" applyBorder="1" applyAlignment="1">
      <alignment vertical="center"/>
    </xf>
    <xf numFmtId="0" fontId="1" fillId="2" borderId="25" xfId="4" applyFont="1" applyFill="1" applyBorder="1" applyAlignment="1">
      <alignment horizontal="center" vertical="center"/>
    </xf>
    <xf numFmtId="0" fontId="1" fillId="0" borderId="24" xfId="4" applyFont="1" applyBorder="1" applyAlignment="1">
      <alignment vertical="center"/>
    </xf>
    <xf numFmtId="165" fontId="1" fillId="0" borderId="24" xfId="2" applyFont="1" applyBorder="1" applyAlignment="1" applyProtection="1">
      <alignment horizontal="center" vertical="center"/>
    </xf>
    <xf numFmtId="0" fontId="1" fillId="6" borderId="24" xfId="4" applyFont="1" applyFill="1" applyBorder="1" applyAlignment="1">
      <alignment vertical="center"/>
    </xf>
    <xf numFmtId="0" fontId="1" fillId="0" borderId="26" xfId="4" applyFont="1" applyBorder="1" applyAlignment="1">
      <alignment vertical="center"/>
    </xf>
    <xf numFmtId="0" fontId="3" fillId="3" borderId="9" xfId="4" applyFont="1" applyFill="1" applyBorder="1" applyAlignment="1">
      <alignment horizontal="center" vertical="center"/>
    </xf>
    <xf numFmtId="0" fontId="3" fillId="3" borderId="27" xfId="4" applyFont="1" applyFill="1" applyBorder="1" applyAlignment="1">
      <alignment horizontal="center" vertical="center"/>
    </xf>
    <xf numFmtId="0" fontId="3" fillId="3" borderId="27" xfId="4" applyFont="1" applyFill="1" applyBorder="1" applyAlignment="1">
      <alignment vertical="center"/>
    </xf>
    <xf numFmtId="165" fontId="3" fillId="3" borderId="27" xfId="2" applyFont="1" applyFill="1" applyBorder="1" applyAlignment="1" applyProtection="1">
      <alignment horizontal="center" vertical="center"/>
    </xf>
    <xf numFmtId="0" fontId="3" fillId="3" borderId="28" xfId="4" applyFont="1" applyFill="1" applyBorder="1" applyAlignment="1">
      <alignment vertical="center"/>
    </xf>
    <xf numFmtId="0" fontId="1" fillId="6" borderId="10" xfId="4" applyFont="1" applyFill="1" applyBorder="1" applyAlignment="1">
      <alignment vertical="center"/>
    </xf>
    <xf numFmtId="0" fontId="1" fillId="6" borderId="15" xfId="4" applyFont="1" applyFill="1" applyBorder="1" applyAlignment="1">
      <alignment vertical="center"/>
    </xf>
    <xf numFmtId="166" fontId="14" fillId="0" borderId="1" xfId="1" applyNumberFormat="1" applyBorder="1" applyProtection="1"/>
    <xf numFmtId="166" fontId="14" fillId="0" borderId="29" xfId="1" applyNumberFormat="1" applyBorder="1" applyProtection="1"/>
    <xf numFmtId="166" fontId="14" fillId="0" borderId="30" xfId="1" applyNumberFormat="1" applyBorder="1" applyProtection="1"/>
    <xf numFmtId="0" fontId="1" fillId="0" borderId="13" xfId="4" applyFont="1" applyBorder="1" applyAlignment="1">
      <alignment horizontal="center" vertical="center"/>
    </xf>
    <xf numFmtId="165" fontId="13" fillId="0" borderId="13" xfId="2" applyFont="1" applyBorder="1" applyAlignment="1" applyProtection="1">
      <alignment horizontal="center" vertical="center"/>
    </xf>
    <xf numFmtId="0" fontId="1" fillId="0" borderId="13" xfId="4" applyFont="1" applyBorder="1" applyAlignment="1">
      <alignment vertical="center"/>
    </xf>
    <xf numFmtId="0" fontId="1" fillId="2" borderId="1" xfId="4" applyFont="1" applyFill="1" applyBorder="1" applyAlignment="1">
      <alignment horizontal="center" vertical="center"/>
    </xf>
    <xf numFmtId="14" fontId="2" fillId="3" borderId="2" xfId="4" applyNumberFormat="1" applyFont="1" applyFill="1" applyBorder="1" applyAlignment="1">
      <alignment horizontal="center"/>
    </xf>
    <xf numFmtId="0" fontId="3" fillId="4" borderId="3" xfId="4" applyFont="1" applyFill="1" applyBorder="1" applyAlignment="1">
      <alignment horizontal="center" vertical="center"/>
    </xf>
    <xf numFmtId="1" fontId="3" fillId="4" borderId="3" xfId="4" applyNumberFormat="1" applyFont="1" applyFill="1" applyBorder="1" applyAlignment="1">
      <alignment horizontal="center" vertical="center"/>
    </xf>
    <xf numFmtId="0" fontId="3" fillId="4" borderId="3" xfId="4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center" vertical="center"/>
    </xf>
    <xf numFmtId="166" fontId="5" fillId="6" borderId="5" xfId="1" applyNumberFormat="1" applyFont="1" applyFill="1" applyBorder="1" applyAlignment="1" applyProtection="1">
      <alignment horizontal="center" vertical="center"/>
    </xf>
    <xf numFmtId="165" fontId="1" fillId="0" borderId="2" xfId="4" applyNumberFormat="1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0" fontId="1" fillId="0" borderId="15" xfId="4" applyFont="1" applyBorder="1" applyAlignment="1">
      <alignment horizontal="center" vertical="center"/>
    </xf>
    <xf numFmtId="0" fontId="4" fillId="5" borderId="2" xfId="4" applyFont="1" applyFill="1" applyBorder="1" applyAlignment="1">
      <alignment horizontal="center" vertical="center"/>
    </xf>
    <xf numFmtId="166" fontId="3" fillId="5" borderId="4" xfId="1" applyNumberFormat="1" applyFont="1" applyFill="1" applyBorder="1" applyAlignment="1" applyProtection="1">
      <alignment horizontal="center"/>
    </xf>
    <xf numFmtId="0" fontId="8" fillId="0" borderId="10" xfId="4" applyFont="1" applyBorder="1" applyAlignment="1">
      <alignment horizontal="center" vertical="center"/>
    </xf>
    <xf numFmtId="0" fontId="1" fillId="0" borderId="10" xfId="4" applyFont="1" applyBorder="1" applyAlignment="1">
      <alignment horizontal="center" vertical="center"/>
    </xf>
    <xf numFmtId="165" fontId="14" fillId="0" borderId="2" xfId="4" applyNumberForma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1" fillId="0" borderId="2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/>
    </xf>
    <xf numFmtId="0" fontId="1" fillId="0" borderId="24" xfId="4" applyFont="1" applyBorder="1" applyAlignment="1">
      <alignment horizontal="center" vertical="center"/>
    </xf>
    <xf numFmtId="0" fontId="1" fillId="2" borderId="13" xfId="4" applyFont="1" applyFill="1" applyBorder="1" applyAlignment="1">
      <alignment horizontal="center" vertical="center"/>
    </xf>
    <xf numFmtId="0" fontId="1" fillId="2" borderId="25" xfId="4" applyFont="1" applyFill="1" applyBorder="1" applyAlignment="1">
      <alignment horizontal="center" vertical="center"/>
    </xf>
  </cellXfs>
  <cellStyles count="5">
    <cellStyle name="Comma [0] 2" xfId="2" xr:uid="{00000000-0005-0000-0000-000007000000}"/>
    <cellStyle name="Comma 2" xfId="1" xr:uid="{00000000-0005-0000-0000-000006000000}"/>
    <cellStyle name="Normal" xfId="0" builtinId="0"/>
    <cellStyle name="Normal 2" xfId="3" xr:uid="{00000000-0005-0000-0000-000008000000}"/>
    <cellStyle name="Normal 2 2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CC2E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EC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ulyanto_djuhardi_sonoco_com/Documents/Documents/Trucking%20Cs%20n%20Whouse/WHouse02B.xlsx" TargetMode="External"/><Relationship Id="rId1" Type="http://schemas.openxmlformats.org/officeDocument/2006/relationships/externalLinkPath" Target="/personal/mulyanto_djuhardi_sonoco_com/Documents/Documents/Trucking%20Cs%20n%20Whouse/WHouse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curity"/>
      <sheetName val="No Truck"/>
      <sheetName val="WHouse"/>
      <sheetName val="MonitorWhs"/>
      <sheetName val="CS"/>
      <sheetName val="Data"/>
      <sheetName val="Weight tolerance"/>
      <sheetName val="CS Form"/>
    </sheetNames>
    <sheetDataSet>
      <sheetData sheetId="0"/>
      <sheetData sheetId="1"/>
      <sheetData sheetId="2">
        <row r="4">
          <cell r="B4">
            <v>1</v>
          </cell>
          <cell r="C4" t="str">
            <v>45882-1</v>
          </cell>
          <cell r="D4" t="str">
            <v>B 2002 RI</v>
          </cell>
          <cell r="E4">
            <v>90</v>
          </cell>
          <cell r="F4">
            <v>2641.5</v>
          </cell>
          <cell r="G4" t="str">
            <v>Finish</v>
          </cell>
        </row>
        <row r="5">
          <cell r="B5">
            <v>2</v>
          </cell>
          <cell r="C5" t="str">
            <v>45882-2</v>
          </cell>
          <cell r="D5" t="str">
            <v>B 3003 RI</v>
          </cell>
          <cell r="E5">
            <v>77</v>
          </cell>
          <cell r="F5">
            <v>1987.7840000000001</v>
          </cell>
          <cell r="G5" t="str">
            <v>Finish</v>
          </cell>
        </row>
        <row r="6">
          <cell r="B6">
            <v>3</v>
          </cell>
          <cell r="C6" t="str">
            <v>45882-3</v>
          </cell>
          <cell r="D6" t="str">
            <v>B 1001 RI</v>
          </cell>
          <cell r="E6">
            <v>81</v>
          </cell>
          <cell r="F6">
            <v>2767.2719999999999</v>
          </cell>
          <cell r="G6" t="str">
            <v>Finish</v>
          </cell>
        </row>
        <row r="7">
          <cell r="B7">
            <v>4</v>
          </cell>
          <cell r="C7" t="str">
            <v>45882-4</v>
          </cell>
          <cell r="D7">
            <v>0</v>
          </cell>
        </row>
        <row r="8">
          <cell r="B8">
            <v>5</v>
          </cell>
          <cell r="C8" t="str">
            <v>45882-5</v>
          </cell>
          <cell r="D8">
            <v>0</v>
          </cell>
        </row>
        <row r="9">
          <cell r="B9">
            <v>6</v>
          </cell>
          <cell r="C9" t="str">
            <v>45882-6</v>
          </cell>
          <cell r="D9">
            <v>0</v>
          </cell>
        </row>
        <row r="10">
          <cell r="B10">
            <v>7</v>
          </cell>
          <cell r="C10" t="str">
            <v>45882-7</v>
          </cell>
          <cell r="D10">
            <v>0</v>
          </cell>
        </row>
        <row r="11">
          <cell r="B11">
            <v>8</v>
          </cell>
          <cell r="C11" t="str">
            <v>45882-8</v>
          </cell>
          <cell r="D11">
            <v>0</v>
          </cell>
        </row>
        <row r="12">
          <cell r="B12">
            <v>9</v>
          </cell>
          <cell r="C12" t="str">
            <v>45882-9</v>
          </cell>
          <cell r="D12">
            <v>0</v>
          </cell>
        </row>
        <row r="13">
          <cell r="B13">
            <v>10</v>
          </cell>
          <cell r="C13" t="str">
            <v>45882-10</v>
          </cell>
          <cell r="D13">
            <v>0</v>
          </cell>
        </row>
        <row r="14">
          <cell r="B14">
            <v>11</v>
          </cell>
          <cell r="C14" t="str">
            <v>45882-11</v>
          </cell>
          <cell r="D14">
            <v>0</v>
          </cell>
        </row>
        <row r="15">
          <cell r="B15">
            <v>12</v>
          </cell>
          <cell r="C15" t="str">
            <v>45882-12</v>
          </cell>
          <cell r="D15">
            <v>0</v>
          </cell>
        </row>
        <row r="16">
          <cell r="B16">
            <v>13</v>
          </cell>
          <cell r="C16" t="str">
            <v>45882-13</v>
          </cell>
          <cell r="D16">
            <v>0</v>
          </cell>
        </row>
        <row r="17">
          <cell r="B17">
            <v>14</v>
          </cell>
          <cell r="C17" t="str">
            <v>45882-14</v>
          </cell>
          <cell r="D17">
            <v>0</v>
          </cell>
        </row>
        <row r="18">
          <cell r="B18">
            <v>15</v>
          </cell>
          <cell r="C18" t="str">
            <v>45882-15</v>
          </cell>
          <cell r="D18">
            <v>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75"/>
  <sheetViews>
    <sheetView showGridLines="0" tabSelected="1" zoomScale="145" zoomScaleNormal="145" workbookViewId="0">
      <selection activeCell="B7" sqref="B7"/>
    </sheetView>
  </sheetViews>
  <sheetFormatPr defaultColWidth="9.21875" defaultRowHeight="14.4" x14ac:dyDescent="0.3"/>
  <cols>
    <col min="1" max="1" width="11.77734375" style="5" customWidth="1"/>
    <col min="2" max="2" width="24.44140625" style="5" customWidth="1"/>
    <col min="3" max="3" width="10.44140625" style="5" customWidth="1"/>
    <col min="4" max="4" width="12.21875" style="5" customWidth="1"/>
    <col min="5" max="5" width="10.77734375" style="5" customWidth="1"/>
    <col min="6" max="6" width="14.5546875" style="5" customWidth="1"/>
    <col min="7" max="7" width="23.77734375" style="5" customWidth="1"/>
    <col min="8" max="8" width="5.44140625" style="5" customWidth="1"/>
    <col min="9" max="9" width="12.21875" style="5" customWidth="1"/>
    <col min="10" max="10" width="14.5546875" style="5" customWidth="1"/>
    <col min="11" max="11" width="9.21875" style="5"/>
    <col min="12" max="12" width="11.5546875" style="5" customWidth="1"/>
    <col min="13" max="13" width="8.21875" style="5" customWidth="1"/>
    <col min="14" max="15" width="9.77734375" style="5" customWidth="1"/>
    <col min="16" max="16" width="7.109375" style="6" customWidth="1"/>
    <col min="17" max="19" width="9.21875" style="5"/>
    <col min="20" max="22" width="9.21875" style="7"/>
    <col min="23" max="23" width="10.33203125" style="7" customWidth="1"/>
    <col min="24" max="24" width="10.109375" style="7" customWidth="1"/>
    <col min="25" max="16384" width="9.21875" style="5"/>
  </cols>
  <sheetData>
    <row r="1" spans="1:24" ht="15" customHeight="1" x14ac:dyDescent="0.3">
      <c r="A1" s="107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24" ht="15" customHeight="1" x14ac:dyDescent="0.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W2" s="7">
        <v>22</v>
      </c>
      <c r="X2" s="7">
        <v>23</v>
      </c>
    </row>
    <row r="3" spans="1:24" ht="15" customHeight="1" x14ac:dyDescent="0.3">
      <c r="A3" s="108" t="s">
        <v>188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Q3" s="5" t="s">
        <v>0</v>
      </c>
      <c r="R3" s="5" t="s">
        <v>0</v>
      </c>
      <c r="S3" s="5" t="s">
        <v>0</v>
      </c>
      <c r="T3" s="5" t="s">
        <v>0</v>
      </c>
      <c r="U3" s="5" t="s">
        <v>0</v>
      </c>
      <c r="V3" s="5"/>
      <c r="W3" s="5" t="s">
        <v>0</v>
      </c>
      <c r="X3" s="5" t="s">
        <v>0</v>
      </c>
    </row>
    <row r="4" spans="1:24" ht="15" customHeight="1" x14ac:dyDescent="0.3">
      <c r="A4" s="109" t="s">
        <v>1</v>
      </c>
      <c r="B4" s="110" t="s">
        <v>2</v>
      </c>
      <c r="C4" s="110" t="s">
        <v>3</v>
      </c>
      <c r="D4" s="110" t="s">
        <v>4</v>
      </c>
      <c r="E4" s="110" t="s">
        <v>5</v>
      </c>
      <c r="F4" s="109" t="s">
        <v>6</v>
      </c>
      <c r="G4" s="111" t="s">
        <v>7</v>
      </c>
      <c r="H4" s="111"/>
      <c r="I4" s="111" t="s">
        <v>8</v>
      </c>
      <c r="J4" s="111" t="s">
        <v>9</v>
      </c>
      <c r="K4" s="111" t="s">
        <v>10</v>
      </c>
      <c r="L4" s="111" t="s">
        <v>11</v>
      </c>
      <c r="M4" s="111" t="s">
        <v>12</v>
      </c>
      <c r="N4" s="111" t="s">
        <v>13</v>
      </c>
      <c r="O4" s="111" t="s">
        <v>14</v>
      </c>
      <c r="P4" s="117" t="s">
        <v>13</v>
      </c>
      <c r="Q4" s="111" t="s">
        <v>15</v>
      </c>
      <c r="R4" s="111" t="s">
        <v>16</v>
      </c>
      <c r="S4" s="111" t="s">
        <v>17</v>
      </c>
      <c r="T4" s="118" t="s">
        <v>18</v>
      </c>
      <c r="U4" s="118"/>
      <c r="V4" s="112" t="s">
        <v>19</v>
      </c>
      <c r="W4" s="112"/>
      <c r="X4" s="113" t="s">
        <v>20</v>
      </c>
    </row>
    <row r="5" spans="1:24" ht="15" customHeight="1" x14ac:dyDescent="0.3">
      <c r="A5" s="109"/>
      <c r="B5" s="109"/>
      <c r="C5" s="110"/>
      <c r="D5" s="110"/>
      <c r="E5" s="110"/>
      <c r="F5" s="109"/>
      <c r="G5" s="8" t="s">
        <v>21</v>
      </c>
      <c r="H5" s="9" t="s">
        <v>22</v>
      </c>
      <c r="I5" s="111"/>
      <c r="J5" s="111"/>
      <c r="K5" s="111"/>
      <c r="L5" s="111"/>
      <c r="M5" s="111"/>
      <c r="N5" s="111"/>
      <c r="O5" s="111"/>
      <c r="P5" s="117"/>
      <c r="Q5" s="111"/>
      <c r="R5" s="111"/>
      <c r="S5" s="111"/>
      <c r="T5" s="10" t="s">
        <v>23</v>
      </c>
      <c r="U5" s="11" t="s">
        <v>24</v>
      </c>
      <c r="V5" s="12" t="s">
        <v>23</v>
      </c>
      <c r="W5" s="12" t="s">
        <v>24</v>
      </c>
      <c r="X5" s="113"/>
    </row>
    <row r="6" spans="1:24" ht="15" customHeight="1" x14ac:dyDescent="0.3">
      <c r="A6" s="13">
        <v>1.1000000000000001</v>
      </c>
      <c r="B6" s="2" t="s">
        <v>189</v>
      </c>
      <c r="C6" s="1" t="s">
        <v>25</v>
      </c>
      <c r="D6" s="1">
        <v>1</v>
      </c>
      <c r="E6" s="1" t="s">
        <v>26</v>
      </c>
      <c r="F6" s="14" t="s">
        <v>27</v>
      </c>
      <c r="G6" s="1" t="s">
        <v>28</v>
      </c>
      <c r="H6" s="1">
        <v>38</v>
      </c>
      <c r="I6" s="1" t="s">
        <v>29</v>
      </c>
      <c r="J6" s="1" t="s">
        <v>30</v>
      </c>
      <c r="K6" s="15">
        <v>1008</v>
      </c>
      <c r="L6" s="15">
        <f t="shared" ref="L6:L12" si="0">K6*M6</f>
        <v>10080</v>
      </c>
      <c r="M6" s="1">
        <v>10</v>
      </c>
      <c r="N6" s="16" t="s">
        <v>31</v>
      </c>
      <c r="O6" s="17" t="s">
        <v>32</v>
      </c>
      <c r="Q6" s="18">
        <f t="shared" ref="Q6:Q12" si="1">(H6*L6)/1000</f>
        <v>383.04</v>
      </c>
      <c r="R6" s="18">
        <f t="shared" ref="R6:R12" si="2">M6</f>
        <v>10</v>
      </c>
      <c r="S6" s="114">
        <f>SUM(Q6:R12)</f>
        <v>2641.5</v>
      </c>
      <c r="T6" s="19"/>
      <c r="X6" s="20"/>
    </row>
    <row r="7" spans="1:24" ht="15" customHeight="1" x14ac:dyDescent="0.3">
      <c r="A7" s="21">
        <v>1.2</v>
      </c>
      <c r="B7" s="22" t="s">
        <v>33</v>
      </c>
      <c r="C7" s="23" t="s">
        <v>34</v>
      </c>
      <c r="D7" s="23">
        <v>3</v>
      </c>
      <c r="E7" s="23" t="s">
        <v>35</v>
      </c>
      <c r="F7" s="24" t="s">
        <v>36</v>
      </c>
      <c r="G7" s="23" t="s">
        <v>37</v>
      </c>
      <c r="H7" s="23">
        <v>36</v>
      </c>
      <c r="I7" s="23" t="s">
        <v>38</v>
      </c>
      <c r="J7" s="23" t="s">
        <v>39</v>
      </c>
      <c r="K7" s="25">
        <v>1024</v>
      </c>
      <c r="L7" s="26">
        <f t="shared" si="0"/>
        <v>10240</v>
      </c>
      <c r="M7" s="23">
        <v>10</v>
      </c>
      <c r="N7" s="27" t="s">
        <v>31</v>
      </c>
      <c r="O7" s="28" t="s">
        <v>32</v>
      </c>
      <c r="Q7" s="18">
        <f t="shared" si="1"/>
        <v>368.64</v>
      </c>
      <c r="R7" s="18">
        <f t="shared" si="2"/>
        <v>10</v>
      </c>
      <c r="S7" s="114"/>
      <c r="T7" s="19"/>
      <c r="X7" s="20"/>
    </row>
    <row r="8" spans="1:24" ht="15" customHeight="1" x14ac:dyDescent="0.3">
      <c r="A8" s="21">
        <v>1.3</v>
      </c>
      <c r="B8" s="115" t="s">
        <v>40</v>
      </c>
      <c r="C8" s="116" t="s">
        <v>25</v>
      </c>
      <c r="D8" s="116">
        <v>2</v>
      </c>
      <c r="E8" s="23" t="s">
        <v>41</v>
      </c>
      <c r="F8" s="24" t="s">
        <v>42</v>
      </c>
      <c r="G8" s="23" t="s">
        <v>43</v>
      </c>
      <c r="H8" s="23">
        <v>90</v>
      </c>
      <c r="I8" s="23" t="s">
        <v>44</v>
      </c>
      <c r="J8" s="23" t="s">
        <v>45</v>
      </c>
      <c r="K8" s="25">
        <v>390</v>
      </c>
      <c r="L8" s="26">
        <f t="shared" si="0"/>
        <v>3900</v>
      </c>
      <c r="M8" s="23">
        <v>10</v>
      </c>
      <c r="N8" s="27" t="s">
        <v>31</v>
      </c>
      <c r="O8" s="28" t="s">
        <v>32</v>
      </c>
      <c r="Q8" s="18">
        <f t="shared" si="1"/>
        <v>351</v>
      </c>
      <c r="R8" s="18">
        <f t="shared" si="2"/>
        <v>10</v>
      </c>
      <c r="S8" s="114"/>
      <c r="T8" s="19"/>
      <c r="X8" s="20"/>
    </row>
    <row r="9" spans="1:24" ht="15" customHeight="1" x14ac:dyDescent="0.3">
      <c r="A9" s="21">
        <v>1.3</v>
      </c>
      <c r="B9" s="115"/>
      <c r="C9" s="116"/>
      <c r="D9" s="116"/>
      <c r="E9" s="23" t="s">
        <v>46</v>
      </c>
      <c r="F9" s="24" t="s">
        <v>42</v>
      </c>
      <c r="G9" s="23" t="s">
        <v>43</v>
      </c>
      <c r="H9" s="23">
        <v>90</v>
      </c>
      <c r="I9" s="23" t="s">
        <v>44</v>
      </c>
      <c r="J9" s="23" t="s">
        <v>45</v>
      </c>
      <c r="K9" s="25">
        <v>390</v>
      </c>
      <c r="L9" s="26">
        <f t="shared" si="0"/>
        <v>3900</v>
      </c>
      <c r="M9" s="23">
        <v>10</v>
      </c>
      <c r="N9" s="27" t="s">
        <v>31</v>
      </c>
      <c r="O9" s="28" t="s">
        <v>32</v>
      </c>
      <c r="Q9" s="18">
        <f t="shared" si="1"/>
        <v>351</v>
      </c>
      <c r="R9" s="18">
        <f t="shared" si="2"/>
        <v>10</v>
      </c>
      <c r="S9" s="114"/>
      <c r="T9" s="19"/>
      <c r="X9" s="20"/>
    </row>
    <row r="10" spans="1:24" ht="15" customHeight="1" x14ac:dyDescent="0.3">
      <c r="A10" s="21">
        <v>1.3</v>
      </c>
      <c r="B10" s="115"/>
      <c r="C10" s="116"/>
      <c r="D10" s="116"/>
      <c r="E10" s="23" t="s">
        <v>47</v>
      </c>
      <c r="F10" s="24" t="s">
        <v>48</v>
      </c>
      <c r="G10" s="23" t="s">
        <v>49</v>
      </c>
      <c r="H10" s="23">
        <v>38</v>
      </c>
      <c r="I10" s="23" t="s">
        <v>50</v>
      </c>
      <c r="J10" s="23" t="s">
        <v>51</v>
      </c>
      <c r="K10" s="25">
        <v>588</v>
      </c>
      <c r="L10" s="26">
        <f t="shared" si="0"/>
        <v>5880</v>
      </c>
      <c r="M10" s="23">
        <v>10</v>
      </c>
      <c r="N10" s="29" t="s">
        <v>31</v>
      </c>
      <c r="O10" s="28" t="s">
        <v>32</v>
      </c>
      <c r="Q10" s="18">
        <f t="shared" si="1"/>
        <v>223.44</v>
      </c>
      <c r="R10" s="18">
        <f t="shared" si="2"/>
        <v>10</v>
      </c>
      <c r="S10" s="114"/>
      <c r="T10" s="19"/>
      <c r="X10" s="20"/>
    </row>
    <row r="11" spans="1:24" ht="15" customHeight="1" x14ac:dyDescent="0.3">
      <c r="A11" s="21">
        <v>1.3</v>
      </c>
      <c r="B11" s="115"/>
      <c r="C11" s="116"/>
      <c r="D11" s="116"/>
      <c r="E11" s="23" t="s">
        <v>52</v>
      </c>
      <c r="F11" s="24" t="s">
        <v>53</v>
      </c>
      <c r="G11" s="23" t="s">
        <v>54</v>
      </c>
      <c r="H11" s="23">
        <v>38</v>
      </c>
      <c r="I11" s="23" t="s">
        <v>55</v>
      </c>
      <c r="J11" s="23" t="s">
        <v>56</v>
      </c>
      <c r="K11" s="25">
        <v>537</v>
      </c>
      <c r="L11" s="26">
        <f t="shared" si="0"/>
        <v>5370</v>
      </c>
      <c r="M11" s="23">
        <v>10</v>
      </c>
      <c r="N11" s="29" t="s">
        <v>31</v>
      </c>
      <c r="O11" s="28" t="s">
        <v>32</v>
      </c>
      <c r="Q11" s="18">
        <f t="shared" si="1"/>
        <v>204.06</v>
      </c>
      <c r="R11" s="18">
        <f t="shared" si="2"/>
        <v>10</v>
      </c>
      <c r="S11" s="114"/>
      <c r="T11" s="19"/>
      <c r="X11" s="20"/>
    </row>
    <row r="12" spans="1:24" ht="15" customHeight="1" x14ac:dyDescent="0.3">
      <c r="A12" s="21">
        <v>1.3</v>
      </c>
      <c r="B12" s="115"/>
      <c r="C12" s="116"/>
      <c r="D12" s="116"/>
      <c r="E12" s="3" t="s">
        <v>57</v>
      </c>
      <c r="F12" s="30" t="s">
        <v>48</v>
      </c>
      <c r="G12" s="3" t="s">
        <v>49</v>
      </c>
      <c r="H12" s="3">
        <v>38</v>
      </c>
      <c r="I12" s="3" t="s">
        <v>58</v>
      </c>
      <c r="J12" s="3" t="s">
        <v>59</v>
      </c>
      <c r="K12" s="31">
        <v>588</v>
      </c>
      <c r="L12" s="32">
        <f t="shared" si="0"/>
        <v>17640</v>
      </c>
      <c r="M12" s="3">
        <v>30</v>
      </c>
      <c r="N12" s="33" t="s">
        <v>31</v>
      </c>
      <c r="O12" s="34" t="s">
        <v>32</v>
      </c>
      <c r="Q12" s="18">
        <f t="shared" si="1"/>
        <v>670.32</v>
      </c>
      <c r="R12" s="18">
        <f t="shared" si="2"/>
        <v>30</v>
      </c>
      <c r="S12" s="114"/>
      <c r="T12" s="19"/>
      <c r="X12" s="20"/>
    </row>
    <row r="13" spans="1:24" ht="15" customHeight="1" x14ac:dyDescent="0.3">
      <c r="A13" s="35">
        <v>1</v>
      </c>
      <c r="B13" s="36"/>
      <c r="C13" s="37"/>
      <c r="D13" s="38"/>
      <c r="E13" s="38"/>
      <c r="F13" s="39"/>
      <c r="G13" s="38"/>
      <c r="H13" s="38"/>
      <c r="I13" s="38"/>
      <c r="J13" s="38"/>
      <c r="K13" s="40"/>
      <c r="L13" s="40"/>
      <c r="M13" s="38">
        <f>SUM(M6:M12)</f>
        <v>90</v>
      </c>
      <c r="N13" s="39"/>
      <c r="O13" s="41"/>
      <c r="P13" s="42" t="str">
        <f>IFERROR(VLOOKUP(A13,[1]WHouse!$B$4:$G$18,6,0),"")</f>
        <v>Finish</v>
      </c>
      <c r="Q13" s="43">
        <f>SUM(Q6:Q12)</f>
        <v>2551.5</v>
      </c>
      <c r="R13" s="43">
        <f>SUM(R6:R12)</f>
        <v>90</v>
      </c>
      <c r="S13" s="44">
        <f>SUM(Q13:R13)</f>
        <v>2641.5</v>
      </c>
      <c r="T13" s="45">
        <f>S13-(S13*0.04)</f>
        <v>2535.84</v>
      </c>
      <c r="U13" s="45">
        <f>S13+(S13*0.04)</f>
        <v>2747.16</v>
      </c>
      <c r="V13" s="45">
        <f>T13-(0.06*T13)</f>
        <v>2383.6896000000002</v>
      </c>
      <c r="W13" s="45">
        <f>U13+(0.06*U13)</f>
        <v>2911.9895999999999</v>
      </c>
      <c r="X13" s="46">
        <f>U13+(0.1*U13)</f>
        <v>3021.8759999999997</v>
      </c>
    </row>
    <row r="14" spans="1:24" ht="15" customHeight="1" x14ac:dyDescent="0.3">
      <c r="A14" s="13">
        <v>2.1</v>
      </c>
      <c r="B14" s="119" t="s">
        <v>60</v>
      </c>
      <c r="C14" s="120" t="s">
        <v>61</v>
      </c>
      <c r="D14" s="120">
        <v>1</v>
      </c>
      <c r="E14" s="1" t="s">
        <v>62</v>
      </c>
      <c r="F14" s="14" t="s">
        <v>63</v>
      </c>
      <c r="G14" s="1" t="s">
        <v>64</v>
      </c>
      <c r="H14" s="1">
        <v>13</v>
      </c>
      <c r="I14" s="1" t="s">
        <v>65</v>
      </c>
      <c r="J14" s="1" t="s">
        <v>66</v>
      </c>
      <c r="K14" s="15">
        <v>3024</v>
      </c>
      <c r="L14" s="15">
        <f t="shared" ref="L14:L19" si="3">K14*M14</f>
        <v>12096</v>
      </c>
      <c r="M14" s="1">
        <v>4</v>
      </c>
      <c r="N14" s="47" t="s">
        <v>67</v>
      </c>
      <c r="O14" s="17" t="s">
        <v>68</v>
      </c>
      <c r="Q14" s="48">
        <f t="shared" ref="Q14:Q19" si="4">(H14*L14)/1000</f>
        <v>157.24799999999999</v>
      </c>
      <c r="R14" s="48">
        <f t="shared" ref="R14:R19" si="5">M14</f>
        <v>4</v>
      </c>
      <c r="S14" s="121">
        <f>SUM(Q14:R19)</f>
        <v>1987.7840000000001</v>
      </c>
      <c r="T14" s="19"/>
      <c r="X14" s="20"/>
    </row>
    <row r="15" spans="1:24" ht="15" customHeight="1" x14ac:dyDescent="0.3">
      <c r="A15" s="21">
        <v>2.1</v>
      </c>
      <c r="B15" s="119"/>
      <c r="C15" s="120"/>
      <c r="D15" s="120"/>
      <c r="E15" s="23" t="s">
        <v>69</v>
      </c>
      <c r="F15" s="24" t="s">
        <v>63</v>
      </c>
      <c r="G15" s="23" t="s">
        <v>43</v>
      </c>
      <c r="H15" s="23">
        <v>13</v>
      </c>
      <c r="I15" s="23" t="s">
        <v>65</v>
      </c>
      <c r="J15" s="23" t="s">
        <v>66</v>
      </c>
      <c r="K15" s="25">
        <v>3024</v>
      </c>
      <c r="L15" s="26">
        <f t="shared" si="3"/>
        <v>9072</v>
      </c>
      <c r="M15" s="23">
        <v>3</v>
      </c>
      <c r="N15" s="49" t="s">
        <v>67</v>
      </c>
      <c r="O15" s="50" t="s">
        <v>68</v>
      </c>
      <c r="Q15" s="48">
        <f t="shared" si="4"/>
        <v>117.93600000000001</v>
      </c>
      <c r="R15" s="48">
        <f t="shared" si="5"/>
        <v>3</v>
      </c>
      <c r="S15" s="121"/>
      <c r="T15" s="19"/>
      <c r="X15" s="20"/>
    </row>
    <row r="16" spans="1:24" ht="15" customHeight="1" x14ac:dyDescent="0.3">
      <c r="A16" s="21">
        <v>2.2000000000000002</v>
      </c>
      <c r="B16" s="115" t="s">
        <v>70</v>
      </c>
      <c r="C16" s="116" t="s">
        <v>71</v>
      </c>
      <c r="D16" s="116">
        <v>2</v>
      </c>
      <c r="E16" s="23" t="s">
        <v>72</v>
      </c>
      <c r="F16" s="24" t="s">
        <v>73</v>
      </c>
      <c r="G16" s="23" t="s">
        <v>37</v>
      </c>
      <c r="H16" s="23">
        <v>40</v>
      </c>
      <c r="I16" s="23" t="s">
        <v>58</v>
      </c>
      <c r="J16" s="23" t="s">
        <v>74</v>
      </c>
      <c r="K16" s="25">
        <v>1014</v>
      </c>
      <c r="L16" s="26">
        <f t="shared" si="3"/>
        <v>10140</v>
      </c>
      <c r="M16" s="23">
        <v>10</v>
      </c>
      <c r="N16" s="49" t="s">
        <v>67</v>
      </c>
      <c r="O16" s="50" t="s">
        <v>68</v>
      </c>
      <c r="Q16" s="48">
        <f t="shared" si="4"/>
        <v>405.6</v>
      </c>
      <c r="R16" s="48">
        <f t="shared" si="5"/>
        <v>10</v>
      </c>
      <c r="S16" s="121"/>
      <c r="T16" s="19"/>
      <c r="X16" s="20"/>
    </row>
    <row r="17" spans="1:24" ht="15" customHeight="1" x14ac:dyDescent="0.3">
      <c r="A17" s="21">
        <v>2.2000000000000002</v>
      </c>
      <c r="B17" s="115"/>
      <c r="C17" s="116"/>
      <c r="D17" s="116"/>
      <c r="E17" s="23" t="s">
        <v>75</v>
      </c>
      <c r="F17" s="24" t="s">
        <v>76</v>
      </c>
      <c r="G17" s="23" t="s">
        <v>77</v>
      </c>
      <c r="H17" s="23">
        <v>50</v>
      </c>
      <c r="I17" s="23" t="s">
        <v>65</v>
      </c>
      <c r="J17" s="23" t="s">
        <v>78</v>
      </c>
      <c r="K17" s="25">
        <v>410</v>
      </c>
      <c r="L17" s="26">
        <f t="shared" si="3"/>
        <v>1640</v>
      </c>
      <c r="M17" s="23">
        <v>4</v>
      </c>
      <c r="N17" s="49" t="s">
        <v>67</v>
      </c>
      <c r="O17" s="50" t="s">
        <v>68</v>
      </c>
      <c r="Q17" s="48">
        <f t="shared" si="4"/>
        <v>82</v>
      </c>
      <c r="R17" s="48">
        <f t="shared" si="5"/>
        <v>4</v>
      </c>
      <c r="S17" s="121"/>
      <c r="T17" s="19"/>
      <c r="X17" s="20"/>
    </row>
    <row r="18" spans="1:24" ht="15" customHeight="1" x14ac:dyDescent="0.3">
      <c r="A18" s="21">
        <v>2.2000000000000002</v>
      </c>
      <c r="B18" s="115"/>
      <c r="C18" s="116"/>
      <c r="D18" s="116"/>
      <c r="E18" s="23" t="s">
        <v>79</v>
      </c>
      <c r="F18" s="24" t="s">
        <v>80</v>
      </c>
      <c r="G18" s="23" t="s">
        <v>77</v>
      </c>
      <c r="H18" s="23">
        <v>50</v>
      </c>
      <c r="I18" s="23" t="s">
        <v>29</v>
      </c>
      <c r="J18" s="23" t="s">
        <v>30</v>
      </c>
      <c r="K18" s="25">
        <v>410</v>
      </c>
      <c r="L18" s="26">
        <f t="shared" si="3"/>
        <v>8200</v>
      </c>
      <c r="M18" s="23">
        <v>20</v>
      </c>
      <c r="N18" s="49" t="s">
        <v>67</v>
      </c>
      <c r="O18" s="50" t="s">
        <v>68</v>
      </c>
      <c r="Q18" s="48">
        <f t="shared" si="4"/>
        <v>410</v>
      </c>
      <c r="R18" s="48">
        <f t="shared" si="5"/>
        <v>20</v>
      </c>
      <c r="S18" s="121"/>
      <c r="T18" s="19"/>
      <c r="X18" s="20"/>
    </row>
    <row r="19" spans="1:24" ht="15" customHeight="1" x14ac:dyDescent="0.3">
      <c r="A19" s="51">
        <v>2.2000000000000002</v>
      </c>
      <c r="B19" s="115"/>
      <c r="C19" s="116"/>
      <c r="D19" s="116"/>
      <c r="E19" s="3" t="s">
        <v>81</v>
      </c>
      <c r="F19" s="30" t="s">
        <v>76</v>
      </c>
      <c r="G19" s="3" t="s">
        <v>77</v>
      </c>
      <c r="H19" s="3">
        <v>50</v>
      </c>
      <c r="I19" s="3" t="s">
        <v>65</v>
      </c>
      <c r="J19" s="3" t="s">
        <v>78</v>
      </c>
      <c r="K19" s="31">
        <v>410</v>
      </c>
      <c r="L19" s="32">
        <f t="shared" si="3"/>
        <v>14760</v>
      </c>
      <c r="M19" s="3">
        <v>36</v>
      </c>
      <c r="N19" s="52" t="s">
        <v>67</v>
      </c>
      <c r="O19" s="53" t="s">
        <v>68</v>
      </c>
      <c r="Q19" s="48">
        <f t="shared" si="4"/>
        <v>738</v>
      </c>
      <c r="R19" s="48">
        <f t="shared" si="5"/>
        <v>36</v>
      </c>
      <c r="S19" s="121"/>
      <c r="T19" s="19"/>
      <c r="X19" s="20"/>
    </row>
    <row r="20" spans="1:24" ht="15" customHeight="1" x14ac:dyDescent="0.3">
      <c r="A20" s="54">
        <v>2</v>
      </c>
      <c r="B20" s="55"/>
      <c r="C20" s="56"/>
      <c r="D20" s="56"/>
      <c r="E20" s="56"/>
      <c r="F20" s="57"/>
      <c r="G20" s="56"/>
      <c r="H20" s="56"/>
      <c r="I20" s="56"/>
      <c r="J20" s="56"/>
      <c r="K20" s="58"/>
      <c r="L20" s="58"/>
      <c r="M20" s="56">
        <f>SUM(M14:M19)</f>
        <v>77</v>
      </c>
      <c r="N20" s="57"/>
      <c r="O20" s="59"/>
      <c r="P20" s="60" t="str">
        <f>IFERROR(VLOOKUP(A20,[1]WHouse!$B$4:$G$18,6,0),"")</f>
        <v>Finish</v>
      </c>
      <c r="Q20" s="61">
        <f>SUM(Q14:Q19)</f>
        <v>1910.7840000000001</v>
      </c>
      <c r="R20" s="61">
        <f>SUM(R14:R19)</f>
        <v>77</v>
      </c>
      <c r="S20" s="62">
        <f>SUM(Q20:R20)</f>
        <v>1987.7840000000001</v>
      </c>
      <c r="T20" s="63">
        <f>S20-(S20*0.04)</f>
        <v>1908.2726400000001</v>
      </c>
      <c r="U20" s="63">
        <f>S20+(S20*0.04)</f>
        <v>2067.2953600000001</v>
      </c>
      <c r="V20" s="45">
        <f>T20-(0.06*T20)</f>
        <v>1793.7762816000002</v>
      </c>
      <c r="W20" s="63">
        <f>U20+(0.06*U20)</f>
        <v>2191.3330816000002</v>
      </c>
      <c r="X20" s="64">
        <f>U20+(0.1*U20)</f>
        <v>2274.0248959999999</v>
      </c>
    </row>
    <row r="21" spans="1:24" x14ac:dyDescent="0.3">
      <c r="A21" s="13">
        <v>3.2</v>
      </c>
      <c r="B21" s="2" t="s">
        <v>82</v>
      </c>
      <c r="C21" s="1" t="s">
        <v>61</v>
      </c>
      <c r="D21" s="1">
        <v>2</v>
      </c>
      <c r="E21" s="1" t="s">
        <v>83</v>
      </c>
      <c r="F21" s="14" t="s">
        <v>84</v>
      </c>
      <c r="G21" s="1" t="s">
        <v>43</v>
      </c>
      <c r="H21" s="1">
        <v>30</v>
      </c>
      <c r="I21" s="1" t="s">
        <v>29</v>
      </c>
      <c r="J21" s="1" t="s">
        <v>30</v>
      </c>
      <c r="K21" s="15">
        <v>500</v>
      </c>
      <c r="L21" s="15">
        <f t="shared" ref="L21:L26" si="6">K21*M21</f>
        <v>10000</v>
      </c>
      <c r="M21" s="1">
        <v>20</v>
      </c>
      <c r="N21" s="47" t="s">
        <v>67</v>
      </c>
      <c r="O21" s="17" t="s">
        <v>68</v>
      </c>
      <c r="Q21" s="48">
        <f t="shared" ref="Q21:Q26" si="7">(H21*L21)/1000</f>
        <v>300</v>
      </c>
      <c r="R21" s="48">
        <f t="shared" ref="R21:R26" si="8">M21</f>
        <v>20</v>
      </c>
      <c r="S21" s="121">
        <f>SUM(Q21:R26)</f>
        <v>2767.2719999999999</v>
      </c>
      <c r="T21" s="19"/>
      <c r="X21" s="20"/>
    </row>
    <row r="22" spans="1:24" x14ac:dyDescent="0.3">
      <c r="A22" s="21">
        <v>3.1</v>
      </c>
      <c r="B22" s="115" t="s">
        <v>85</v>
      </c>
      <c r="C22" s="116" t="s">
        <v>86</v>
      </c>
      <c r="D22" s="116">
        <v>1</v>
      </c>
      <c r="E22" s="23" t="s">
        <v>87</v>
      </c>
      <c r="F22" s="24" t="s">
        <v>88</v>
      </c>
      <c r="G22" s="23" t="s">
        <v>43</v>
      </c>
      <c r="H22" s="23">
        <v>28</v>
      </c>
      <c r="I22" s="23" t="s">
        <v>89</v>
      </c>
      <c r="J22" s="23" t="s">
        <v>39</v>
      </c>
      <c r="K22" s="25">
        <v>1224</v>
      </c>
      <c r="L22" s="26">
        <f t="shared" si="6"/>
        <v>1224</v>
      </c>
      <c r="M22" s="23">
        <v>1</v>
      </c>
      <c r="N22" s="29" t="s">
        <v>90</v>
      </c>
      <c r="O22" s="50" t="s">
        <v>68</v>
      </c>
      <c r="Q22" s="48">
        <f t="shared" si="7"/>
        <v>34.271999999999998</v>
      </c>
      <c r="R22" s="48">
        <f t="shared" si="8"/>
        <v>1</v>
      </c>
      <c r="S22" s="121"/>
      <c r="T22" s="19"/>
      <c r="X22" s="20"/>
    </row>
    <row r="23" spans="1:24" x14ac:dyDescent="0.3">
      <c r="A23" s="21">
        <v>3.1</v>
      </c>
      <c r="B23" s="115"/>
      <c r="C23" s="116"/>
      <c r="D23" s="116"/>
      <c r="E23" s="65" t="s">
        <v>91</v>
      </c>
      <c r="F23" s="66" t="s">
        <v>92</v>
      </c>
      <c r="G23" s="23" t="s">
        <v>54</v>
      </c>
      <c r="H23" s="23">
        <v>40</v>
      </c>
      <c r="I23" s="23" t="s">
        <v>93</v>
      </c>
      <c r="J23" s="23" t="s">
        <v>39</v>
      </c>
      <c r="K23" s="25">
        <v>980</v>
      </c>
      <c r="L23" s="26">
        <f t="shared" si="6"/>
        <v>31360</v>
      </c>
      <c r="M23" s="23">
        <v>32</v>
      </c>
      <c r="N23" s="49" t="s">
        <v>67</v>
      </c>
      <c r="O23" s="50" t="s">
        <v>68</v>
      </c>
      <c r="Q23" s="48">
        <f t="shared" si="7"/>
        <v>1254.4000000000001</v>
      </c>
      <c r="R23" s="48">
        <f t="shared" si="8"/>
        <v>32</v>
      </c>
      <c r="S23" s="121"/>
      <c r="T23" s="19"/>
      <c r="X23" s="20"/>
    </row>
    <row r="24" spans="1:24" x14ac:dyDescent="0.3">
      <c r="A24" s="21">
        <v>3.1</v>
      </c>
      <c r="B24" s="115"/>
      <c r="C24" s="116"/>
      <c r="D24" s="116"/>
      <c r="E24" s="23" t="s">
        <v>94</v>
      </c>
      <c r="F24" s="24" t="s">
        <v>95</v>
      </c>
      <c r="G24" s="23" t="s">
        <v>49</v>
      </c>
      <c r="H24" s="23">
        <v>40</v>
      </c>
      <c r="I24" s="23" t="s">
        <v>50</v>
      </c>
      <c r="J24" s="23" t="s">
        <v>96</v>
      </c>
      <c r="K24" s="25">
        <v>980</v>
      </c>
      <c r="L24" s="26">
        <f t="shared" si="6"/>
        <v>5880</v>
      </c>
      <c r="M24" s="23">
        <v>6</v>
      </c>
      <c r="N24" s="49" t="s">
        <v>67</v>
      </c>
      <c r="O24" s="50" t="s">
        <v>68</v>
      </c>
      <c r="Q24" s="48">
        <f t="shared" si="7"/>
        <v>235.2</v>
      </c>
      <c r="R24" s="48">
        <f t="shared" si="8"/>
        <v>6</v>
      </c>
      <c r="S24" s="121"/>
      <c r="T24" s="19"/>
      <c r="X24" s="20"/>
    </row>
    <row r="25" spans="1:24" x14ac:dyDescent="0.3">
      <c r="A25" s="21">
        <v>3.1</v>
      </c>
      <c r="B25" s="115"/>
      <c r="C25" s="116"/>
      <c r="D25" s="116"/>
      <c r="E25" s="23" t="s">
        <v>94</v>
      </c>
      <c r="F25" s="24" t="s">
        <v>95</v>
      </c>
      <c r="G25" s="23" t="s">
        <v>49</v>
      </c>
      <c r="H25" s="23">
        <v>40</v>
      </c>
      <c r="I25" s="23" t="s">
        <v>97</v>
      </c>
      <c r="J25" s="23" t="s">
        <v>39</v>
      </c>
      <c r="K25" s="25">
        <v>980</v>
      </c>
      <c r="L25" s="26">
        <f t="shared" si="6"/>
        <v>11760</v>
      </c>
      <c r="M25" s="23">
        <v>12</v>
      </c>
      <c r="N25" s="49" t="s">
        <v>67</v>
      </c>
      <c r="O25" s="50" t="s">
        <v>68</v>
      </c>
      <c r="Q25" s="48">
        <f t="shared" si="7"/>
        <v>470.4</v>
      </c>
      <c r="R25" s="48">
        <f t="shared" si="8"/>
        <v>12</v>
      </c>
      <c r="S25" s="121"/>
      <c r="T25" s="19"/>
      <c r="X25" s="20"/>
    </row>
    <row r="26" spans="1:24" x14ac:dyDescent="0.3">
      <c r="A26" s="51">
        <v>3.1</v>
      </c>
      <c r="B26" s="115"/>
      <c r="C26" s="116"/>
      <c r="D26" s="116"/>
      <c r="E26" s="3" t="s">
        <v>94</v>
      </c>
      <c r="F26" s="30" t="s">
        <v>95</v>
      </c>
      <c r="G26" s="3" t="s">
        <v>54</v>
      </c>
      <c r="H26" s="3">
        <v>40</v>
      </c>
      <c r="I26" s="3" t="s">
        <v>98</v>
      </c>
      <c r="J26" s="3" t="s">
        <v>96</v>
      </c>
      <c r="K26" s="31">
        <v>980</v>
      </c>
      <c r="L26" s="32">
        <f t="shared" si="6"/>
        <v>9800</v>
      </c>
      <c r="M26" s="3">
        <v>10</v>
      </c>
      <c r="N26" s="52" t="s">
        <v>67</v>
      </c>
      <c r="O26" s="53" t="s">
        <v>68</v>
      </c>
      <c r="Q26" s="48">
        <f t="shared" si="7"/>
        <v>392</v>
      </c>
      <c r="R26" s="48">
        <f t="shared" si="8"/>
        <v>10</v>
      </c>
      <c r="S26" s="121"/>
      <c r="T26" s="19"/>
      <c r="X26" s="20"/>
    </row>
    <row r="27" spans="1:24" ht="15" customHeight="1" x14ac:dyDescent="0.3">
      <c r="A27" s="54">
        <v>3</v>
      </c>
      <c r="B27" s="55"/>
      <c r="C27" s="56"/>
      <c r="D27" s="56"/>
      <c r="E27" s="56"/>
      <c r="F27" s="57"/>
      <c r="G27" s="56"/>
      <c r="H27" s="56"/>
      <c r="I27" s="56"/>
      <c r="J27" s="56"/>
      <c r="K27" s="58"/>
      <c r="L27" s="58"/>
      <c r="M27" s="56">
        <f>SUM(M21:M26)</f>
        <v>81</v>
      </c>
      <c r="N27" s="57"/>
      <c r="O27" s="59"/>
      <c r="P27" s="60" t="str">
        <f>IFERROR(VLOOKUP(A27,[1]WHouse!$B$4:$G$18,6,0),"")</f>
        <v>Finish</v>
      </c>
      <c r="Q27" s="61">
        <f>SUM(Q21:Q26)</f>
        <v>2686.2719999999999</v>
      </c>
      <c r="R27" s="61">
        <f>SUM(R21:R26)</f>
        <v>81</v>
      </c>
      <c r="S27" s="62">
        <f>SUM(Q27:R27)</f>
        <v>2767.2719999999999</v>
      </c>
      <c r="T27" s="63">
        <f>S27-(S27*0.04)</f>
        <v>2656.5811199999998</v>
      </c>
      <c r="U27" s="63">
        <f>S27+(S27*0.04)</f>
        <v>2877.96288</v>
      </c>
      <c r="V27" s="45">
        <f>T27-(0.06*T27)</f>
        <v>2497.1862527999997</v>
      </c>
      <c r="W27" s="63">
        <f>U27+(0.06*U27)</f>
        <v>3050.6406528000002</v>
      </c>
      <c r="X27" s="64">
        <f>U27+(0.1*U27)</f>
        <v>3165.759168</v>
      </c>
    </row>
    <row r="28" spans="1:24" ht="15" customHeight="1" x14ac:dyDescent="0.3">
      <c r="A28" s="13" t="s">
        <v>99</v>
      </c>
      <c r="B28" s="119" t="s">
        <v>100</v>
      </c>
      <c r="C28" s="120" t="s">
        <v>101</v>
      </c>
      <c r="D28" s="120">
        <v>1</v>
      </c>
      <c r="E28" s="1" t="s">
        <v>102</v>
      </c>
      <c r="F28" s="14" t="s">
        <v>103</v>
      </c>
      <c r="G28" s="1" t="s">
        <v>49</v>
      </c>
      <c r="H28" s="1">
        <v>42</v>
      </c>
      <c r="I28" s="1" t="s">
        <v>89</v>
      </c>
      <c r="J28" s="1" t="s">
        <v>39</v>
      </c>
      <c r="K28" s="15">
        <v>931</v>
      </c>
      <c r="L28" s="15">
        <f t="shared" ref="L28:L38" si="9">K28*M28</f>
        <v>3724</v>
      </c>
      <c r="M28" s="1">
        <v>4</v>
      </c>
      <c r="N28" s="47" t="s">
        <v>67</v>
      </c>
      <c r="O28" s="17" t="s">
        <v>68</v>
      </c>
      <c r="Q28" s="48">
        <f t="shared" ref="Q28:Q38" si="10">(H28*L28)/1000</f>
        <v>156.40799999999999</v>
      </c>
      <c r="R28" s="48">
        <f t="shared" ref="R28:R38" si="11">M28</f>
        <v>4</v>
      </c>
      <c r="S28" s="121">
        <f>SUM(Q28:R38)</f>
        <v>3815.2759999999998</v>
      </c>
      <c r="T28" s="19"/>
      <c r="X28" s="20"/>
    </row>
    <row r="29" spans="1:24" ht="15" customHeight="1" x14ac:dyDescent="0.3">
      <c r="A29" s="21">
        <v>4.0999999999999996</v>
      </c>
      <c r="B29" s="119"/>
      <c r="C29" s="120"/>
      <c r="D29" s="120"/>
      <c r="E29" s="23" t="s">
        <v>104</v>
      </c>
      <c r="F29" s="24" t="s">
        <v>103</v>
      </c>
      <c r="G29" s="23" t="s">
        <v>49</v>
      </c>
      <c r="H29" s="23">
        <v>42</v>
      </c>
      <c r="I29" s="23" t="s">
        <v>58</v>
      </c>
      <c r="J29" s="23" t="s">
        <v>105</v>
      </c>
      <c r="K29" s="25">
        <v>931</v>
      </c>
      <c r="L29" s="26">
        <f t="shared" si="9"/>
        <v>931</v>
      </c>
      <c r="M29" s="23">
        <v>1</v>
      </c>
      <c r="N29" s="49" t="s">
        <v>67</v>
      </c>
      <c r="O29" s="50" t="s">
        <v>68</v>
      </c>
      <c r="Q29" s="48">
        <f t="shared" si="10"/>
        <v>39.101999999999997</v>
      </c>
      <c r="R29" s="48">
        <f t="shared" si="11"/>
        <v>1</v>
      </c>
      <c r="S29" s="121"/>
      <c r="T29" s="19"/>
      <c r="X29" s="20"/>
    </row>
    <row r="30" spans="1:24" ht="15" customHeight="1" x14ac:dyDescent="0.3">
      <c r="A30" s="21">
        <v>4.0999999999999996</v>
      </c>
      <c r="B30" s="119"/>
      <c r="C30" s="120"/>
      <c r="D30" s="120"/>
      <c r="E30" s="23" t="s">
        <v>104</v>
      </c>
      <c r="F30" s="24" t="s">
        <v>103</v>
      </c>
      <c r="G30" s="23" t="s">
        <v>49</v>
      </c>
      <c r="H30" s="23">
        <v>42</v>
      </c>
      <c r="I30" s="23" t="s">
        <v>58</v>
      </c>
      <c r="J30" s="23" t="s">
        <v>39</v>
      </c>
      <c r="K30" s="25">
        <v>931</v>
      </c>
      <c r="L30" s="26">
        <f t="shared" si="9"/>
        <v>1862</v>
      </c>
      <c r="M30" s="23">
        <v>2</v>
      </c>
      <c r="N30" s="49" t="s">
        <v>67</v>
      </c>
      <c r="O30" s="50" t="s">
        <v>68</v>
      </c>
      <c r="Q30" s="48">
        <f t="shared" si="10"/>
        <v>78.203999999999994</v>
      </c>
      <c r="R30" s="48">
        <f t="shared" si="11"/>
        <v>2</v>
      </c>
      <c r="S30" s="121"/>
      <c r="T30" s="19"/>
      <c r="X30" s="20"/>
    </row>
    <row r="31" spans="1:24" ht="15" customHeight="1" x14ac:dyDescent="0.3">
      <c r="A31" s="21">
        <v>4.0999999999999996</v>
      </c>
      <c r="B31" s="119"/>
      <c r="C31" s="120"/>
      <c r="D31" s="120"/>
      <c r="E31" s="23" t="s">
        <v>104</v>
      </c>
      <c r="F31" s="24" t="s">
        <v>103</v>
      </c>
      <c r="G31" s="23" t="s">
        <v>49</v>
      </c>
      <c r="H31" s="23">
        <v>42</v>
      </c>
      <c r="I31" s="23" t="s">
        <v>97</v>
      </c>
      <c r="J31" s="23" t="s">
        <v>56</v>
      </c>
      <c r="K31" s="25">
        <v>931</v>
      </c>
      <c r="L31" s="26">
        <f t="shared" si="9"/>
        <v>931</v>
      </c>
      <c r="M31" s="23">
        <v>1</v>
      </c>
      <c r="N31" s="49" t="s">
        <v>67</v>
      </c>
      <c r="O31" s="50" t="s">
        <v>68</v>
      </c>
      <c r="Q31" s="48">
        <f t="shared" si="10"/>
        <v>39.101999999999997</v>
      </c>
      <c r="R31" s="48">
        <f t="shared" si="11"/>
        <v>1</v>
      </c>
      <c r="S31" s="121"/>
      <c r="T31" s="19"/>
      <c r="X31" s="20"/>
    </row>
    <row r="32" spans="1:24" ht="15" customHeight="1" x14ac:dyDescent="0.3">
      <c r="A32" s="21">
        <v>4.0999999999999996</v>
      </c>
      <c r="B32" s="119"/>
      <c r="C32" s="120"/>
      <c r="D32" s="120"/>
      <c r="E32" s="23" t="s">
        <v>106</v>
      </c>
      <c r="F32" s="24" t="s">
        <v>103</v>
      </c>
      <c r="G32" s="23" t="s">
        <v>49</v>
      </c>
      <c r="H32" s="23">
        <v>42</v>
      </c>
      <c r="I32" s="23" t="s">
        <v>107</v>
      </c>
      <c r="J32" s="23" t="s">
        <v>96</v>
      </c>
      <c r="K32" s="25">
        <v>931</v>
      </c>
      <c r="L32" s="26">
        <f t="shared" si="9"/>
        <v>1862</v>
      </c>
      <c r="M32" s="23">
        <v>2</v>
      </c>
      <c r="N32" s="49" t="s">
        <v>67</v>
      </c>
      <c r="O32" s="50" t="s">
        <v>68</v>
      </c>
      <c r="Q32" s="48">
        <f t="shared" si="10"/>
        <v>78.203999999999994</v>
      </c>
      <c r="R32" s="48">
        <f t="shared" si="11"/>
        <v>2</v>
      </c>
      <c r="S32" s="121"/>
      <c r="T32" s="19"/>
      <c r="X32" s="20"/>
    </row>
    <row r="33" spans="1:24" ht="15" customHeight="1" x14ac:dyDescent="0.3">
      <c r="A33" s="21">
        <v>4.0999999999999996</v>
      </c>
      <c r="B33" s="119"/>
      <c r="C33" s="120"/>
      <c r="D33" s="120"/>
      <c r="E33" s="23" t="s">
        <v>108</v>
      </c>
      <c r="F33" s="67" t="s">
        <v>103</v>
      </c>
      <c r="G33" s="23" t="s">
        <v>49</v>
      </c>
      <c r="H33" s="23">
        <v>42</v>
      </c>
      <c r="I33" s="23" t="s">
        <v>38</v>
      </c>
      <c r="J33" s="23" t="s">
        <v>109</v>
      </c>
      <c r="K33" s="25">
        <v>931</v>
      </c>
      <c r="L33" s="26">
        <f t="shared" si="9"/>
        <v>1862</v>
      </c>
      <c r="M33" s="23">
        <v>2</v>
      </c>
      <c r="N33" s="68" t="s">
        <v>67</v>
      </c>
      <c r="O33" s="69" t="s">
        <v>68</v>
      </c>
      <c r="Q33" s="48">
        <f t="shared" si="10"/>
        <v>78.203999999999994</v>
      </c>
      <c r="R33" s="48">
        <f t="shared" si="11"/>
        <v>2</v>
      </c>
      <c r="S33" s="121"/>
      <c r="T33" s="19"/>
      <c r="X33" s="20"/>
    </row>
    <row r="34" spans="1:24" ht="15" customHeight="1" x14ac:dyDescent="0.3">
      <c r="A34" s="21">
        <v>4.0999999999999996</v>
      </c>
      <c r="B34" s="119"/>
      <c r="C34" s="120"/>
      <c r="D34" s="120"/>
      <c r="E34" s="23" t="s">
        <v>110</v>
      </c>
      <c r="F34" s="67" t="s">
        <v>103</v>
      </c>
      <c r="G34" s="23" t="s">
        <v>49</v>
      </c>
      <c r="H34" s="23">
        <v>42</v>
      </c>
      <c r="I34" s="23" t="s">
        <v>111</v>
      </c>
      <c r="J34" s="23" t="s">
        <v>39</v>
      </c>
      <c r="K34" s="25">
        <v>931</v>
      </c>
      <c r="L34" s="26">
        <f t="shared" si="9"/>
        <v>9310</v>
      </c>
      <c r="M34" s="23">
        <v>10</v>
      </c>
      <c r="N34" s="68" t="s">
        <v>67</v>
      </c>
      <c r="O34" s="69" t="s">
        <v>68</v>
      </c>
      <c r="Q34" s="48">
        <f t="shared" si="10"/>
        <v>391.02</v>
      </c>
      <c r="R34" s="48">
        <f t="shared" si="11"/>
        <v>10</v>
      </c>
      <c r="S34" s="121"/>
      <c r="T34" s="19"/>
      <c r="X34" s="20"/>
    </row>
    <row r="35" spans="1:24" ht="15" customHeight="1" x14ac:dyDescent="0.3">
      <c r="A35" s="21">
        <v>4.0999999999999996</v>
      </c>
      <c r="B35" s="119"/>
      <c r="C35" s="120"/>
      <c r="D35" s="120"/>
      <c r="E35" s="23" t="s">
        <v>110</v>
      </c>
      <c r="F35" s="67" t="s">
        <v>103</v>
      </c>
      <c r="G35" s="23" t="s">
        <v>49</v>
      </c>
      <c r="H35" s="23">
        <v>42</v>
      </c>
      <c r="I35" s="23" t="s">
        <v>38</v>
      </c>
      <c r="J35" s="23" t="s">
        <v>39</v>
      </c>
      <c r="K35" s="25">
        <v>931</v>
      </c>
      <c r="L35" s="26">
        <f t="shared" si="9"/>
        <v>9310</v>
      </c>
      <c r="M35" s="23">
        <v>10</v>
      </c>
      <c r="N35" s="68" t="s">
        <v>67</v>
      </c>
      <c r="O35" s="69" t="s">
        <v>68</v>
      </c>
      <c r="Q35" s="48">
        <f t="shared" si="10"/>
        <v>391.02</v>
      </c>
      <c r="R35" s="48">
        <f t="shared" si="11"/>
        <v>10</v>
      </c>
      <c r="S35" s="121"/>
      <c r="T35" s="19"/>
      <c r="X35" s="20"/>
    </row>
    <row r="36" spans="1:24" ht="15" customHeight="1" x14ac:dyDescent="0.3">
      <c r="A36" s="21">
        <v>4.0999999999999996</v>
      </c>
      <c r="B36" s="119"/>
      <c r="C36" s="120"/>
      <c r="D36" s="120"/>
      <c r="E36" s="23" t="s">
        <v>110</v>
      </c>
      <c r="F36" s="67" t="s">
        <v>103</v>
      </c>
      <c r="G36" s="23" t="s">
        <v>49</v>
      </c>
      <c r="H36" s="23">
        <v>42</v>
      </c>
      <c r="I36" s="23" t="s">
        <v>97</v>
      </c>
      <c r="J36" s="23" t="s">
        <v>112</v>
      </c>
      <c r="K36" s="25">
        <v>931</v>
      </c>
      <c r="L36" s="26">
        <f t="shared" si="9"/>
        <v>5586</v>
      </c>
      <c r="M36" s="23">
        <v>6</v>
      </c>
      <c r="N36" s="68" t="s">
        <v>67</v>
      </c>
      <c r="O36" s="69" t="s">
        <v>68</v>
      </c>
      <c r="Q36" s="48">
        <f t="shared" si="10"/>
        <v>234.61199999999999</v>
      </c>
      <c r="R36" s="48">
        <f t="shared" si="11"/>
        <v>6</v>
      </c>
      <c r="S36" s="121"/>
      <c r="T36" s="19"/>
      <c r="X36" s="20"/>
    </row>
    <row r="37" spans="1:24" ht="15" customHeight="1" x14ac:dyDescent="0.3">
      <c r="A37" s="21">
        <v>4.2</v>
      </c>
      <c r="B37" s="115" t="s">
        <v>113</v>
      </c>
      <c r="C37" s="116" t="s">
        <v>114</v>
      </c>
      <c r="D37" s="116">
        <v>2</v>
      </c>
      <c r="E37" s="23" t="s">
        <v>115</v>
      </c>
      <c r="F37" s="67" t="s">
        <v>116</v>
      </c>
      <c r="G37" s="23" t="s">
        <v>49</v>
      </c>
      <c r="H37" s="23">
        <v>40</v>
      </c>
      <c r="I37" s="23" t="s">
        <v>65</v>
      </c>
      <c r="J37" s="23" t="s">
        <v>45</v>
      </c>
      <c r="K37" s="25">
        <v>980</v>
      </c>
      <c r="L37" s="26">
        <f t="shared" si="9"/>
        <v>41160</v>
      </c>
      <c r="M37" s="23">
        <v>42</v>
      </c>
      <c r="N37" s="70" t="s">
        <v>31</v>
      </c>
      <c r="O37" s="69" t="s">
        <v>68</v>
      </c>
      <c r="Q37" s="48">
        <f t="shared" si="10"/>
        <v>1646.4</v>
      </c>
      <c r="R37" s="48">
        <f t="shared" si="11"/>
        <v>42</v>
      </c>
      <c r="S37" s="121"/>
      <c r="T37" s="19"/>
      <c r="X37" s="20"/>
    </row>
    <row r="38" spans="1:24" ht="15" customHeight="1" x14ac:dyDescent="0.3">
      <c r="A38" s="21">
        <v>4.2</v>
      </c>
      <c r="B38" s="115"/>
      <c r="C38" s="116"/>
      <c r="D38" s="116"/>
      <c r="E38" s="3" t="s">
        <v>117</v>
      </c>
      <c r="F38" s="71" t="s">
        <v>116</v>
      </c>
      <c r="G38" s="3" t="s">
        <v>49</v>
      </c>
      <c r="H38" s="3">
        <v>40</v>
      </c>
      <c r="I38" s="3" t="s">
        <v>65</v>
      </c>
      <c r="J38" s="3" t="s">
        <v>45</v>
      </c>
      <c r="K38" s="31">
        <v>980</v>
      </c>
      <c r="L38" s="32">
        <f t="shared" si="9"/>
        <v>14700</v>
      </c>
      <c r="M38" s="3">
        <v>15</v>
      </c>
      <c r="N38" s="72" t="s">
        <v>31</v>
      </c>
      <c r="O38" s="73" t="s">
        <v>68</v>
      </c>
      <c r="Q38" s="48">
        <f t="shared" si="10"/>
        <v>588</v>
      </c>
      <c r="R38" s="48">
        <f t="shared" si="11"/>
        <v>15</v>
      </c>
      <c r="S38" s="121"/>
      <c r="T38" s="19"/>
      <c r="X38" s="20"/>
    </row>
    <row r="39" spans="1:24" ht="15" customHeight="1" x14ac:dyDescent="0.3">
      <c r="A39" s="74">
        <v>4</v>
      </c>
      <c r="B39" s="75"/>
      <c r="C39" s="56"/>
      <c r="D39" s="56"/>
      <c r="E39" s="56"/>
      <c r="F39" s="76"/>
      <c r="G39" s="56"/>
      <c r="H39" s="56"/>
      <c r="I39" s="56"/>
      <c r="J39" s="56"/>
      <c r="K39" s="58"/>
      <c r="L39" s="58"/>
      <c r="M39" s="56">
        <f>SUM(M28:M38)</f>
        <v>95</v>
      </c>
      <c r="N39" s="76"/>
      <c r="O39" s="77"/>
      <c r="P39" s="60">
        <f>IFERROR(VLOOKUP(A39,[1]WHouse!$B$4:$G$18,6,0),"")</f>
        <v>0</v>
      </c>
      <c r="Q39" s="61">
        <f>SUM(Q28:Q38)</f>
        <v>3720.2759999999998</v>
      </c>
      <c r="R39" s="61">
        <f>SUM(R28:R38)</f>
        <v>95</v>
      </c>
      <c r="S39" s="62">
        <f>SUM(Q39:R39)</f>
        <v>3815.2759999999998</v>
      </c>
      <c r="T39" s="63">
        <f>S39-(S39*0.04)</f>
        <v>3662.6649600000001</v>
      </c>
      <c r="U39" s="63">
        <f>S39+(S39*0.04)</f>
        <v>3967.8870399999996</v>
      </c>
      <c r="V39" s="45">
        <f>T39-(0.06*T39)</f>
        <v>3442.9050624000001</v>
      </c>
      <c r="W39" s="63">
        <f>U39+(0.06*U39)</f>
        <v>4205.9602623999999</v>
      </c>
      <c r="X39" s="64">
        <f>U39+(0.1*U39)</f>
        <v>4364.6757439999992</v>
      </c>
    </row>
    <row r="40" spans="1:24" ht="15" customHeight="1" x14ac:dyDescent="0.3">
      <c r="A40" s="21">
        <v>5.2</v>
      </c>
      <c r="B40" s="119" t="s">
        <v>118</v>
      </c>
      <c r="C40" s="120" t="s">
        <v>119</v>
      </c>
      <c r="D40" s="120">
        <v>2</v>
      </c>
      <c r="E40" s="1" t="s">
        <v>120</v>
      </c>
      <c r="F40" s="78" t="s">
        <v>121</v>
      </c>
      <c r="G40" s="1" t="s">
        <v>43</v>
      </c>
      <c r="H40" s="1">
        <v>30</v>
      </c>
      <c r="I40" s="1" t="s">
        <v>122</v>
      </c>
      <c r="J40" s="1" t="s">
        <v>123</v>
      </c>
      <c r="K40" s="15">
        <v>1152</v>
      </c>
      <c r="L40" s="15">
        <f t="shared" ref="L40:L47" si="12">K40*M40</f>
        <v>11520</v>
      </c>
      <c r="M40" s="1">
        <v>10</v>
      </c>
      <c r="N40" s="79" t="s">
        <v>31</v>
      </c>
      <c r="O40" s="80" t="s">
        <v>68</v>
      </c>
      <c r="Q40" s="48">
        <f t="shared" ref="Q40:Q47" si="13">(H40*L40)/1000</f>
        <v>345.6</v>
      </c>
      <c r="R40" s="48">
        <f t="shared" ref="R40:R47" si="14">M40</f>
        <v>10</v>
      </c>
      <c r="S40" s="121">
        <f>SUM(Q40:R47)</f>
        <v>2898.4</v>
      </c>
      <c r="T40" s="19"/>
      <c r="X40" s="20"/>
    </row>
    <row r="41" spans="1:24" ht="15" customHeight="1" x14ac:dyDescent="0.3">
      <c r="A41" s="21">
        <v>5.2</v>
      </c>
      <c r="B41" s="119"/>
      <c r="C41" s="120"/>
      <c r="D41" s="120"/>
      <c r="E41" s="23" t="s">
        <v>120</v>
      </c>
      <c r="F41" s="67" t="s">
        <v>121</v>
      </c>
      <c r="G41" s="23" t="s">
        <v>43</v>
      </c>
      <c r="H41" s="23">
        <v>30</v>
      </c>
      <c r="I41" s="23" t="s">
        <v>122</v>
      </c>
      <c r="J41" s="23" t="s">
        <v>123</v>
      </c>
      <c r="K41" s="25">
        <v>1152</v>
      </c>
      <c r="L41" s="26">
        <f t="shared" si="12"/>
        <v>11520</v>
      </c>
      <c r="M41" s="23">
        <v>10</v>
      </c>
      <c r="N41" s="67" t="s">
        <v>67</v>
      </c>
      <c r="O41" s="69" t="s">
        <v>68</v>
      </c>
      <c r="Q41" s="48">
        <f t="shared" si="13"/>
        <v>345.6</v>
      </c>
      <c r="R41" s="48">
        <f t="shared" si="14"/>
        <v>10</v>
      </c>
      <c r="S41" s="121"/>
      <c r="T41" s="19"/>
      <c r="X41" s="20"/>
    </row>
    <row r="42" spans="1:24" ht="15" customHeight="1" x14ac:dyDescent="0.3">
      <c r="A42" s="21">
        <v>5.2</v>
      </c>
      <c r="B42" s="119"/>
      <c r="C42" s="120"/>
      <c r="D42" s="120"/>
      <c r="E42" s="23" t="s">
        <v>124</v>
      </c>
      <c r="F42" s="67" t="s">
        <v>121</v>
      </c>
      <c r="G42" s="23" t="s">
        <v>43</v>
      </c>
      <c r="H42" s="23">
        <v>30</v>
      </c>
      <c r="I42" s="23" t="s">
        <v>122</v>
      </c>
      <c r="J42" s="23" t="s">
        <v>123</v>
      </c>
      <c r="K42" s="25">
        <v>1152</v>
      </c>
      <c r="L42" s="26">
        <f t="shared" si="12"/>
        <v>11520</v>
      </c>
      <c r="M42" s="23">
        <v>10</v>
      </c>
      <c r="N42" s="70" t="s">
        <v>31</v>
      </c>
      <c r="O42" s="69" t="s">
        <v>68</v>
      </c>
      <c r="Q42" s="48">
        <f t="shared" si="13"/>
        <v>345.6</v>
      </c>
      <c r="R42" s="48">
        <f t="shared" si="14"/>
        <v>10</v>
      </c>
      <c r="S42" s="121"/>
      <c r="T42" s="19"/>
      <c r="X42" s="20"/>
    </row>
    <row r="43" spans="1:24" ht="15" customHeight="1" x14ac:dyDescent="0.3">
      <c r="A43" s="21">
        <v>5.2</v>
      </c>
      <c r="B43" s="119"/>
      <c r="C43" s="120"/>
      <c r="D43" s="120"/>
      <c r="E43" s="23" t="s">
        <v>125</v>
      </c>
      <c r="F43" s="67" t="s">
        <v>126</v>
      </c>
      <c r="G43" s="23" t="s">
        <v>43</v>
      </c>
      <c r="H43" s="23">
        <v>30</v>
      </c>
      <c r="I43" s="23" t="s">
        <v>111</v>
      </c>
      <c r="J43" s="23" t="s">
        <v>127</v>
      </c>
      <c r="K43" s="25">
        <v>1152</v>
      </c>
      <c r="L43" s="26">
        <f t="shared" si="12"/>
        <v>11520</v>
      </c>
      <c r="M43" s="23">
        <v>10</v>
      </c>
      <c r="N43" s="67" t="s">
        <v>67</v>
      </c>
      <c r="O43" s="69" t="s">
        <v>68</v>
      </c>
      <c r="Q43" s="48">
        <f t="shared" si="13"/>
        <v>345.6</v>
      </c>
      <c r="R43" s="48">
        <f t="shared" si="14"/>
        <v>10</v>
      </c>
      <c r="S43" s="121"/>
      <c r="T43" s="19"/>
      <c r="X43" s="20"/>
    </row>
    <row r="44" spans="1:24" ht="15" customHeight="1" x14ac:dyDescent="0.3">
      <c r="A44" s="21">
        <v>5.2</v>
      </c>
      <c r="B44" s="119"/>
      <c r="C44" s="120"/>
      <c r="D44" s="120"/>
      <c r="E44" s="23" t="s">
        <v>125</v>
      </c>
      <c r="F44" s="67" t="s">
        <v>126</v>
      </c>
      <c r="G44" s="23" t="s">
        <v>43</v>
      </c>
      <c r="H44" s="23">
        <v>30</v>
      </c>
      <c r="I44" s="23" t="s">
        <v>128</v>
      </c>
      <c r="J44" s="23" t="s">
        <v>109</v>
      </c>
      <c r="K44" s="25">
        <v>1152</v>
      </c>
      <c r="L44" s="26">
        <f t="shared" si="12"/>
        <v>23040</v>
      </c>
      <c r="M44" s="23">
        <v>20</v>
      </c>
      <c r="N44" s="67" t="s">
        <v>67</v>
      </c>
      <c r="O44" s="69" t="s">
        <v>68</v>
      </c>
      <c r="Q44" s="48">
        <f t="shared" si="13"/>
        <v>691.2</v>
      </c>
      <c r="R44" s="48">
        <f t="shared" si="14"/>
        <v>20</v>
      </c>
      <c r="S44" s="121"/>
      <c r="T44" s="19"/>
      <c r="X44" s="20"/>
    </row>
    <row r="45" spans="1:24" ht="15" customHeight="1" x14ac:dyDescent="0.3">
      <c r="A45" s="21">
        <v>5.3</v>
      </c>
      <c r="B45" s="122" t="s">
        <v>129</v>
      </c>
      <c r="C45" s="123" t="s">
        <v>61</v>
      </c>
      <c r="D45" s="123">
        <v>3</v>
      </c>
      <c r="E45" s="23" t="s">
        <v>130</v>
      </c>
      <c r="F45" s="67" t="s">
        <v>131</v>
      </c>
      <c r="G45" s="23" t="s">
        <v>49</v>
      </c>
      <c r="H45" s="23">
        <v>40</v>
      </c>
      <c r="I45" s="23" t="s">
        <v>50</v>
      </c>
      <c r="J45" s="23" t="s">
        <v>74</v>
      </c>
      <c r="K45" s="25">
        <v>931</v>
      </c>
      <c r="L45" s="26">
        <f t="shared" si="12"/>
        <v>4655</v>
      </c>
      <c r="M45" s="23">
        <v>5</v>
      </c>
      <c r="N45" s="67" t="s">
        <v>67</v>
      </c>
      <c r="O45" s="69" t="s">
        <v>68</v>
      </c>
      <c r="Q45" s="48">
        <f t="shared" si="13"/>
        <v>186.2</v>
      </c>
      <c r="R45" s="48">
        <f t="shared" si="14"/>
        <v>5</v>
      </c>
      <c r="S45" s="121"/>
      <c r="T45" s="19"/>
      <c r="X45" s="20"/>
    </row>
    <row r="46" spans="1:24" ht="15" customHeight="1" x14ac:dyDescent="0.3">
      <c r="A46" s="21">
        <v>5.3</v>
      </c>
      <c r="B46" s="122"/>
      <c r="C46" s="123"/>
      <c r="D46" s="123"/>
      <c r="E46" s="23" t="s">
        <v>132</v>
      </c>
      <c r="F46" s="67" t="s">
        <v>133</v>
      </c>
      <c r="G46" s="23" t="s">
        <v>49</v>
      </c>
      <c r="H46" s="23">
        <v>40</v>
      </c>
      <c r="I46" s="23" t="s">
        <v>122</v>
      </c>
      <c r="J46" s="23" t="s">
        <v>39</v>
      </c>
      <c r="K46" s="25">
        <v>931</v>
      </c>
      <c r="L46" s="26">
        <f t="shared" si="12"/>
        <v>4655</v>
      </c>
      <c r="M46" s="23">
        <v>5</v>
      </c>
      <c r="N46" s="67" t="s">
        <v>67</v>
      </c>
      <c r="O46" s="69" t="s">
        <v>68</v>
      </c>
      <c r="Q46" s="48">
        <f t="shared" si="13"/>
        <v>186.2</v>
      </c>
      <c r="R46" s="48">
        <f t="shared" si="14"/>
        <v>5</v>
      </c>
      <c r="S46" s="121"/>
      <c r="T46" s="19"/>
      <c r="X46" s="20"/>
    </row>
    <row r="47" spans="1:24" ht="15" customHeight="1" x14ac:dyDescent="0.3">
      <c r="A47" s="51">
        <v>5.0999999999999996</v>
      </c>
      <c r="B47" s="4" t="s">
        <v>134</v>
      </c>
      <c r="C47" s="3" t="s">
        <v>119</v>
      </c>
      <c r="D47" s="3">
        <v>1</v>
      </c>
      <c r="E47" s="3" t="s">
        <v>135</v>
      </c>
      <c r="F47" s="71" t="s">
        <v>136</v>
      </c>
      <c r="G47" s="3" t="s">
        <v>49</v>
      </c>
      <c r="H47" s="3">
        <v>40</v>
      </c>
      <c r="I47" s="3" t="s">
        <v>107</v>
      </c>
      <c r="J47" s="3" t="s">
        <v>56</v>
      </c>
      <c r="K47" s="31">
        <v>931</v>
      </c>
      <c r="L47" s="32">
        <f t="shared" si="12"/>
        <v>9310</v>
      </c>
      <c r="M47" s="3">
        <v>10</v>
      </c>
      <c r="N47" s="71" t="s">
        <v>67</v>
      </c>
      <c r="O47" s="73" t="s">
        <v>68</v>
      </c>
      <c r="Q47" s="48">
        <f t="shared" si="13"/>
        <v>372.4</v>
      </c>
      <c r="R47" s="48">
        <f t="shared" si="14"/>
        <v>10</v>
      </c>
      <c r="S47" s="121"/>
      <c r="T47" s="19"/>
      <c r="X47" s="20"/>
    </row>
    <row r="48" spans="1:24" ht="15" customHeight="1" x14ac:dyDescent="0.3">
      <c r="A48" s="54">
        <v>5</v>
      </c>
      <c r="B48" s="55"/>
      <c r="C48" s="56"/>
      <c r="D48" s="56"/>
      <c r="E48" s="56"/>
      <c r="F48" s="76"/>
      <c r="G48" s="56"/>
      <c r="H48" s="56"/>
      <c r="I48" s="56"/>
      <c r="J48" s="56"/>
      <c r="K48" s="58"/>
      <c r="L48" s="58"/>
      <c r="M48" s="56">
        <f>SUM(M40:M47)</f>
        <v>80</v>
      </c>
      <c r="N48" s="76"/>
      <c r="O48" s="77"/>
      <c r="P48" s="60">
        <f>IFERROR(VLOOKUP(A48,[1]WHouse!$B$4:$G$18,6,0),"")</f>
        <v>0</v>
      </c>
      <c r="Q48" s="61">
        <f>SUM(Q40:Q47)</f>
        <v>2818.4</v>
      </c>
      <c r="R48" s="61">
        <f>SUM(R40:R47)</f>
        <v>80</v>
      </c>
      <c r="S48" s="62">
        <f>SUM(Q48:R48)</f>
        <v>2898.4</v>
      </c>
      <c r="T48" s="63">
        <f>S48-(S48*0.04)</f>
        <v>2782.4639999999999</v>
      </c>
      <c r="U48" s="63">
        <f>S48+(S48*0.04)</f>
        <v>3014.3360000000002</v>
      </c>
      <c r="V48" s="45">
        <f>T48-(0.06*T48)</f>
        <v>2615.5161600000001</v>
      </c>
      <c r="W48" s="63">
        <f>U48+(0.06*U48)</f>
        <v>3195.1961600000004</v>
      </c>
      <c r="X48" s="64">
        <f>U48+(0.1*U48)</f>
        <v>3315.7696000000001</v>
      </c>
    </row>
    <row r="49" spans="1:24" ht="15" customHeight="1" x14ac:dyDescent="0.3">
      <c r="A49" s="13">
        <v>6.1</v>
      </c>
      <c r="B49" s="124" t="s">
        <v>137</v>
      </c>
      <c r="C49" s="125" t="s">
        <v>86</v>
      </c>
      <c r="D49" s="125">
        <v>1</v>
      </c>
      <c r="E49" s="1" t="s">
        <v>138</v>
      </c>
      <c r="F49" s="78" t="s">
        <v>139</v>
      </c>
      <c r="G49" s="1" t="s">
        <v>140</v>
      </c>
      <c r="H49" s="1">
        <v>230</v>
      </c>
      <c r="I49" s="1" t="s">
        <v>29</v>
      </c>
      <c r="J49" s="1" t="s">
        <v>30</v>
      </c>
      <c r="K49" s="15">
        <v>480</v>
      </c>
      <c r="L49" s="15">
        <f>K49*M49</f>
        <v>4320</v>
      </c>
      <c r="M49" s="1">
        <v>9</v>
      </c>
      <c r="N49" s="78" t="s">
        <v>67</v>
      </c>
      <c r="O49" s="80" t="s">
        <v>68</v>
      </c>
      <c r="Q49" s="48">
        <f>(H49*L49)/1000</f>
        <v>993.6</v>
      </c>
      <c r="R49" s="48">
        <f>M49</f>
        <v>9</v>
      </c>
      <c r="S49" s="121">
        <f>SUM(Q49:R50)</f>
        <v>2035.44</v>
      </c>
      <c r="T49" s="19"/>
      <c r="X49" s="20"/>
    </row>
    <row r="50" spans="1:24" ht="15" customHeight="1" x14ac:dyDescent="0.3">
      <c r="A50" s="51">
        <v>6.1</v>
      </c>
      <c r="B50" s="124"/>
      <c r="C50" s="125"/>
      <c r="D50" s="125"/>
      <c r="E50" s="3" t="s">
        <v>138</v>
      </c>
      <c r="F50" s="71" t="s">
        <v>141</v>
      </c>
      <c r="G50" s="3" t="s">
        <v>142</v>
      </c>
      <c r="H50" s="3">
        <v>237</v>
      </c>
      <c r="I50" s="3" t="s">
        <v>29</v>
      </c>
      <c r="J50" s="3" t="s">
        <v>30</v>
      </c>
      <c r="K50" s="31">
        <v>480</v>
      </c>
      <c r="L50" s="32">
        <f>K50*M50</f>
        <v>4320</v>
      </c>
      <c r="M50" s="3">
        <v>9</v>
      </c>
      <c r="N50" s="71" t="s">
        <v>67</v>
      </c>
      <c r="O50" s="73" t="s">
        <v>68</v>
      </c>
      <c r="Q50" s="48">
        <f>(H50*L50)/1000</f>
        <v>1023.84</v>
      </c>
      <c r="R50" s="48">
        <f>M50</f>
        <v>9</v>
      </c>
      <c r="S50" s="121"/>
      <c r="T50" s="19"/>
      <c r="X50" s="20"/>
    </row>
    <row r="51" spans="1:24" ht="15" customHeight="1" x14ac:dyDescent="0.3">
      <c r="A51" s="54">
        <v>6</v>
      </c>
      <c r="B51" s="55"/>
      <c r="C51" s="56"/>
      <c r="D51" s="56"/>
      <c r="E51" s="56"/>
      <c r="F51" s="76"/>
      <c r="G51" s="56"/>
      <c r="H51" s="56"/>
      <c r="I51" s="56"/>
      <c r="J51" s="56"/>
      <c r="K51" s="58"/>
      <c r="L51" s="58"/>
      <c r="M51" s="56">
        <f>SUM(M49:M50)</f>
        <v>18</v>
      </c>
      <c r="N51" s="76"/>
      <c r="O51" s="77"/>
      <c r="P51" s="60">
        <f>IFERROR(VLOOKUP(A51,[1]WHouse!$B$4:$G$18,6,0),"")</f>
        <v>0</v>
      </c>
      <c r="Q51" s="61">
        <f>SUM(Q49:Q50)</f>
        <v>2017.44</v>
      </c>
      <c r="R51" s="61">
        <f>SUM(R49:R50)</f>
        <v>18</v>
      </c>
      <c r="S51" s="62">
        <f>SUM(Q51:R51)</f>
        <v>2035.44</v>
      </c>
      <c r="T51" s="63">
        <f>S51-(S51*0.04)</f>
        <v>1954.0224000000001</v>
      </c>
      <c r="U51" s="63">
        <f>S51+(S51*0.04)</f>
        <v>2116.8576000000003</v>
      </c>
      <c r="V51" s="45">
        <f>T51-(0.06*T51)</f>
        <v>1836.781056</v>
      </c>
      <c r="W51" s="63">
        <f>U51+(0.06*U51)</f>
        <v>2243.8690560000005</v>
      </c>
      <c r="X51" s="64">
        <f>U51+(0.1*U51)</f>
        <v>2328.5433600000001</v>
      </c>
    </row>
    <row r="52" spans="1:24" ht="15" customHeight="1" x14ac:dyDescent="0.3">
      <c r="A52" s="13">
        <v>7.1</v>
      </c>
      <c r="B52" s="2" t="s">
        <v>143</v>
      </c>
      <c r="C52" s="1" t="s">
        <v>25</v>
      </c>
      <c r="D52" s="1">
        <v>1</v>
      </c>
      <c r="E52" s="1" t="s">
        <v>144</v>
      </c>
      <c r="F52" s="14" t="s">
        <v>145</v>
      </c>
      <c r="G52" s="1" t="s">
        <v>146</v>
      </c>
      <c r="H52" s="1">
        <v>237</v>
      </c>
      <c r="I52" s="1" t="s">
        <v>65</v>
      </c>
      <c r="J52" s="1" t="s">
        <v>65</v>
      </c>
      <c r="K52" s="15">
        <v>3000</v>
      </c>
      <c r="L52" s="15">
        <f>K52*M52</f>
        <v>6000</v>
      </c>
      <c r="M52" s="1">
        <v>2</v>
      </c>
      <c r="N52" s="14" t="s">
        <v>31</v>
      </c>
      <c r="O52" s="17" t="s">
        <v>68</v>
      </c>
      <c r="Q52" s="48">
        <f>(H52*L52)/1000</f>
        <v>1422</v>
      </c>
      <c r="R52" s="48">
        <f>M52</f>
        <v>2</v>
      </c>
      <c r="S52" s="121">
        <f>SUM(Q52:R56)</f>
        <v>2630</v>
      </c>
      <c r="T52" s="19"/>
      <c r="X52" s="20"/>
    </row>
    <row r="53" spans="1:24" ht="15" customHeight="1" x14ac:dyDescent="0.3">
      <c r="A53" s="21">
        <v>7.2</v>
      </c>
      <c r="B53" s="115" t="s">
        <v>147</v>
      </c>
      <c r="C53" s="116" t="s">
        <v>25</v>
      </c>
      <c r="D53" s="116">
        <v>2</v>
      </c>
      <c r="E53" s="23" t="s">
        <v>148</v>
      </c>
      <c r="F53" s="67" t="s">
        <v>149</v>
      </c>
      <c r="G53" s="23" t="s">
        <v>49</v>
      </c>
      <c r="H53" s="23">
        <v>40</v>
      </c>
      <c r="I53" s="23" t="s">
        <v>50</v>
      </c>
      <c r="J53" s="23" t="s">
        <v>112</v>
      </c>
      <c r="K53" s="25">
        <v>980</v>
      </c>
      <c r="L53" s="26">
        <f>K53*M53</f>
        <v>9800</v>
      </c>
      <c r="M53" s="23">
        <v>10</v>
      </c>
      <c r="N53" s="24" t="s">
        <v>31</v>
      </c>
      <c r="O53" s="50" t="s">
        <v>68</v>
      </c>
      <c r="Q53" s="48">
        <f>(H53*L53)/1000</f>
        <v>392</v>
      </c>
      <c r="R53" s="48">
        <f>M53</f>
        <v>10</v>
      </c>
      <c r="S53" s="121"/>
      <c r="T53" s="19"/>
      <c r="X53" s="20"/>
    </row>
    <row r="54" spans="1:24" ht="15" customHeight="1" x14ac:dyDescent="0.3">
      <c r="A54" s="21">
        <v>7.2</v>
      </c>
      <c r="B54" s="115"/>
      <c r="C54" s="116"/>
      <c r="D54" s="116"/>
      <c r="E54" s="23" t="s">
        <v>148</v>
      </c>
      <c r="F54" s="67" t="s">
        <v>149</v>
      </c>
      <c r="G54" s="23" t="s">
        <v>49</v>
      </c>
      <c r="H54" s="23">
        <v>40</v>
      </c>
      <c r="I54" s="82" t="s">
        <v>58</v>
      </c>
      <c r="J54" s="23" t="s">
        <v>112</v>
      </c>
      <c r="K54" s="25">
        <v>980</v>
      </c>
      <c r="L54" s="26">
        <f>K54*M54</f>
        <v>4900</v>
      </c>
      <c r="M54" s="23">
        <v>5</v>
      </c>
      <c r="N54" s="24" t="s">
        <v>31</v>
      </c>
      <c r="O54" s="50" t="s">
        <v>68</v>
      </c>
      <c r="Q54" s="48">
        <f>(H54*L54)/1000</f>
        <v>196</v>
      </c>
      <c r="R54" s="48">
        <f>M54</f>
        <v>5</v>
      </c>
      <c r="S54" s="121"/>
      <c r="T54" s="19"/>
      <c r="X54" s="20"/>
    </row>
    <row r="55" spans="1:24" ht="15" customHeight="1" x14ac:dyDescent="0.3">
      <c r="A55" s="21">
        <v>7.2</v>
      </c>
      <c r="B55" s="115"/>
      <c r="C55" s="116"/>
      <c r="D55" s="116"/>
      <c r="E55" s="23" t="s">
        <v>148</v>
      </c>
      <c r="F55" s="67" t="s">
        <v>149</v>
      </c>
      <c r="G55" s="23" t="s">
        <v>49</v>
      </c>
      <c r="H55" s="23">
        <v>40</v>
      </c>
      <c r="I55" s="23" t="s">
        <v>122</v>
      </c>
      <c r="J55" s="23" t="s">
        <v>150</v>
      </c>
      <c r="K55" s="25">
        <v>980</v>
      </c>
      <c r="L55" s="26">
        <f>K55*M55</f>
        <v>4900</v>
      </c>
      <c r="M55" s="23">
        <v>5</v>
      </c>
      <c r="N55" s="24" t="s">
        <v>31</v>
      </c>
      <c r="O55" s="50" t="s">
        <v>68</v>
      </c>
      <c r="Q55" s="48">
        <f>(H55*L55)/1000</f>
        <v>196</v>
      </c>
      <c r="R55" s="48">
        <f>M55</f>
        <v>5</v>
      </c>
      <c r="S55" s="121"/>
      <c r="T55" s="19"/>
      <c r="X55" s="20"/>
    </row>
    <row r="56" spans="1:24" ht="15" customHeight="1" x14ac:dyDescent="0.3">
      <c r="A56" s="21">
        <v>7.2</v>
      </c>
      <c r="B56" s="115"/>
      <c r="C56" s="116"/>
      <c r="D56" s="116"/>
      <c r="E56" s="3" t="s">
        <v>148</v>
      </c>
      <c r="F56" s="71" t="s">
        <v>149</v>
      </c>
      <c r="G56" s="3" t="s">
        <v>49</v>
      </c>
      <c r="H56" s="3">
        <v>40</v>
      </c>
      <c r="I56" s="3" t="s">
        <v>122</v>
      </c>
      <c r="J56" s="3" t="s">
        <v>150</v>
      </c>
      <c r="K56" s="31">
        <v>980</v>
      </c>
      <c r="L56" s="32">
        <f>K56*M56</f>
        <v>9800</v>
      </c>
      <c r="M56" s="3">
        <v>10</v>
      </c>
      <c r="N56" s="71" t="s">
        <v>67</v>
      </c>
      <c r="O56" s="53" t="s">
        <v>68</v>
      </c>
      <c r="Q56" s="48">
        <f>(H56*L56)/1000</f>
        <v>392</v>
      </c>
      <c r="R56" s="48">
        <f>M56</f>
        <v>10</v>
      </c>
      <c r="S56" s="121"/>
      <c r="T56" s="19"/>
      <c r="X56" s="20"/>
    </row>
    <row r="57" spans="1:24" ht="15" customHeight="1" x14ac:dyDescent="0.3">
      <c r="A57" s="74">
        <v>7</v>
      </c>
      <c r="B57" s="75"/>
      <c r="C57" s="56"/>
      <c r="D57" s="56"/>
      <c r="E57" s="56"/>
      <c r="F57" s="76"/>
      <c r="G57" s="56"/>
      <c r="H57" s="56"/>
      <c r="I57" s="56"/>
      <c r="J57" s="56"/>
      <c r="K57" s="58"/>
      <c r="L57" s="58"/>
      <c r="M57" s="56">
        <f>SUM(M52:M56)</f>
        <v>32</v>
      </c>
      <c r="N57" s="76"/>
      <c r="O57" s="59"/>
      <c r="P57" s="60">
        <f>IFERROR(VLOOKUP(A57,[1]WHouse!$B$4:$G$18,6,0),"")</f>
        <v>0</v>
      </c>
      <c r="Q57" s="61">
        <f>SUM(Q52:Q56)</f>
        <v>2598</v>
      </c>
      <c r="R57" s="61">
        <f>SUM(R52:R56)</f>
        <v>32</v>
      </c>
      <c r="S57" s="62">
        <f>SUM(Q57:R57)</f>
        <v>2630</v>
      </c>
      <c r="T57" s="63">
        <f>S57-(S57*0.04)</f>
        <v>2524.8000000000002</v>
      </c>
      <c r="U57" s="63">
        <f>S57+(S57*0.04)</f>
        <v>2735.2</v>
      </c>
      <c r="V57" s="45">
        <f>T57-(0.06*T57)</f>
        <v>2373.3120000000004</v>
      </c>
      <c r="W57" s="63">
        <f>U57+(0.06*U57)</f>
        <v>2899.3119999999999</v>
      </c>
      <c r="X57" s="64">
        <f>U57+(0.1*U57)</f>
        <v>3008.72</v>
      </c>
    </row>
    <row r="58" spans="1:24" ht="15" customHeight="1" x14ac:dyDescent="0.3">
      <c r="A58" s="13">
        <v>8.1</v>
      </c>
      <c r="B58" s="119" t="s">
        <v>151</v>
      </c>
      <c r="C58" s="120" t="s">
        <v>152</v>
      </c>
      <c r="D58" s="120">
        <v>1</v>
      </c>
      <c r="E58" s="1" t="s">
        <v>153</v>
      </c>
      <c r="F58" s="78" t="s">
        <v>154</v>
      </c>
      <c r="G58" s="1" t="s">
        <v>49</v>
      </c>
      <c r="H58" s="1">
        <v>42</v>
      </c>
      <c r="I58" s="1" t="s">
        <v>122</v>
      </c>
      <c r="J58" s="1" t="s">
        <v>39</v>
      </c>
      <c r="K58" s="15">
        <v>931</v>
      </c>
      <c r="L58" s="15">
        <f t="shared" ref="L58:L63" si="15">K58*M58</f>
        <v>1862</v>
      </c>
      <c r="M58" s="1">
        <v>2</v>
      </c>
      <c r="N58" s="79" t="s">
        <v>31</v>
      </c>
      <c r="O58" s="80" t="s">
        <v>32</v>
      </c>
      <c r="Q58" s="48">
        <f t="shared" ref="Q58:Q63" si="16">(H58*L58)/1000</f>
        <v>78.203999999999994</v>
      </c>
      <c r="R58" s="48">
        <f t="shared" ref="R58:R63" si="17">M58</f>
        <v>2</v>
      </c>
      <c r="S58" s="121">
        <f>SUM(Q58:R63)</f>
        <v>2608.12</v>
      </c>
      <c r="T58" s="19"/>
      <c r="X58" s="20"/>
    </row>
    <row r="59" spans="1:24" ht="15" customHeight="1" x14ac:dyDescent="0.3">
      <c r="A59" s="21">
        <v>8.1</v>
      </c>
      <c r="B59" s="119"/>
      <c r="C59" s="120"/>
      <c r="D59" s="120"/>
      <c r="E59" s="23" t="s">
        <v>155</v>
      </c>
      <c r="F59" s="67" t="s">
        <v>154</v>
      </c>
      <c r="G59" s="23" t="s">
        <v>49</v>
      </c>
      <c r="H59" s="23">
        <v>42</v>
      </c>
      <c r="I59" s="23" t="s">
        <v>128</v>
      </c>
      <c r="J59" s="23" t="s">
        <v>74</v>
      </c>
      <c r="K59" s="25">
        <v>931</v>
      </c>
      <c r="L59" s="26">
        <f t="shared" si="15"/>
        <v>13034</v>
      </c>
      <c r="M59" s="23">
        <v>14</v>
      </c>
      <c r="N59" s="70" t="s">
        <v>31</v>
      </c>
      <c r="O59" s="69" t="s">
        <v>32</v>
      </c>
      <c r="Q59" s="48">
        <f t="shared" si="16"/>
        <v>547.428</v>
      </c>
      <c r="R59" s="48">
        <f t="shared" si="17"/>
        <v>14</v>
      </c>
      <c r="S59" s="121"/>
      <c r="T59" s="19"/>
      <c r="X59" s="20"/>
    </row>
    <row r="60" spans="1:24" ht="15" customHeight="1" x14ac:dyDescent="0.3">
      <c r="A60" s="21">
        <v>8.1</v>
      </c>
      <c r="B60" s="119"/>
      <c r="C60" s="120"/>
      <c r="D60" s="120"/>
      <c r="E60" s="23" t="s">
        <v>156</v>
      </c>
      <c r="F60" s="67" t="s">
        <v>154</v>
      </c>
      <c r="G60" s="23" t="s">
        <v>49</v>
      </c>
      <c r="H60" s="23">
        <v>42</v>
      </c>
      <c r="I60" s="23" t="s">
        <v>58</v>
      </c>
      <c r="J60" s="23" t="s">
        <v>39</v>
      </c>
      <c r="K60" s="25">
        <v>931</v>
      </c>
      <c r="L60" s="26">
        <f t="shared" si="15"/>
        <v>3724</v>
      </c>
      <c r="M60" s="23">
        <v>4</v>
      </c>
      <c r="N60" s="70" t="s">
        <v>31</v>
      </c>
      <c r="O60" s="69" t="s">
        <v>32</v>
      </c>
      <c r="Q60" s="48">
        <f t="shared" si="16"/>
        <v>156.40799999999999</v>
      </c>
      <c r="R60" s="48">
        <f t="shared" si="17"/>
        <v>4</v>
      </c>
      <c r="S60" s="121"/>
      <c r="T60" s="19"/>
      <c r="X60" s="20"/>
    </row>
    <row r="61" spans="1:24" ht="15" customHeight="1" x14ac:dyDescent="0.3">
      <c r="A61" s="21">
        <v>8.1</v>
      </c>
      <c r="B61" s="119"/>
      <c r="C61" s="120"/>
      <c r="D61" s="120"/>
      <c r="E61" s="23" t="s">
        <v>157</v>
      </c>
      <c r="F61" s="67" t="s">
        <v>154</v>
      </c>
      <c r="G61" s="23" t="s">
        <v>49</v>
      </c>
      <c r="H61" s="23">
        <v>42</v>
      </c>
      <c r="I61" s="23" t="s">
        <v>38</v>
      </c>
      <c r="J61" s="23" t="s">
        <v>39</v>
      </c>
      <c r="K61" s="25">
        <v>931</v>
      </c>
      <c r="L61" s="26">
        <f t="shared" si="15"/>
        <v>18620</v>
      </c>
      <c r="M61" s="23">
        <v>20</v>
      </c>
      <c r="N61" s="70" t="s">
        <v>31</v>
      </c>
      <c r="O61" s="69" t="s">
        <v>32</v>
      </c>
      <c r="Q61" s="48">
        <f t="shared" si="16"/>
        <v>782.04</v>
      </c>
      <c r="R61" s="48">
        <f t="shared" si="17"/>
        <v>20</v>
      </c>
      <c r="S61" s="121"/>
      <c r="T61" s="19"/>
      <c r="X61" s="20"/>
    </row>
    <row r="62" spans="1:24" ht="15" customHeight="1" x14ac:dyDescent="0.3">
      <c r="A62" s="21">
        <v>8.1</v>
      </c>
      <c r="B62" s="119"/>
      <c r="C62" s="120"/>
      <c r="D62" s="120"/>
      <c r="E62" s="23" t="s">
        <v>157</v>
      </c>
      <c r="F62" s="67" t="s">
        <v>154</v>
      </c>
      <c r="G62" s="23" t="s">
        <v>49</v>
      </c>
      <c r="H62" s="23">
        <v>42</v>
      </c>
      <c r="I62" s="23" t="s">
        <v>128</v>
      </c>
      <c r="J62" s="23" t="s">
        <v>96</v>
      </c>
      <c r="K62" s="25">
        <v>931</v>
      </c>
      <c r="L62" s="26">
        <f t="shared" si="15"/>
        <v>18620</v>
      </c>
      <c r="M62" s="23">
        <v>20</v>
      </c>
      <c r="N62" s="70" t="s">
        <v>31</v>
      </c>
      <c r="O62" s="69" t="s">
        <v>32</v>
      </c>
      <c r="Q62" s="48">
        <f t="shared" si="16"/>
        <v>782.04</v>
      </c>
      <c r="R62" s="48">
        <f t="shared" si="17"/>
        <v>20</v>
      </c>
      <c r="S62" s="121"/>
      <c r="T62" s="19"/>
      <c r="X62" s="20"/>
    </row>
    <row r="63" spans="1:24" ht="15" customHeight="1" x14ac:dyDescent="0.3">
      <c r="A63" s="51">
        <v>8.1999999999999993</v>
      </c>
      <c r="B63" s="4" t="s">
        <v>158</v>
      </c>
      <c r="C63" s="3" t="s">
        <v>152</v>
      </c>
      <c r="D63" s="3">
        <v>2</v>
      </c>
      <c r="E63" s="3" t="s">
        <v>159</v>
      </c>
      <c r="F63" s="71" t="s">
        <v>160</v>
      </c>
      <c r="G63" s="3" t="s">
        <v>161</v>
      </c>
      <c r="H63" s="3">
        <v>67</v>
      </c>
      <c r="I63" s="3" t="s">
        <v>29</v>
      </c>
      <c r="J63" s="3" t="s">
        <v>30</v>
      </c>
      <c r="K63" s="31">
        <v>3000</v>
      </c>
      <c r="L63" s="32">
        <f t="shared" si="15"/>
        <v>3000</v>
      </c>
      <c r="M63" s="3">
        <v>1</v>
      </c>
      <c r="N63" s="72" t="s">
        <v>31</v>
      </c>
      <c r="O63" s="73" t="s">
        <v>32</v>
      </c>
      <c r="Q63" s="48">
        <f t="shared" si="16"/>
        <v>201</v>
      </c>
      <c r="R63" s="48">
        <f t="shared" si="17"/>
        <v>1</v>
      </c>
      <c r="S63" s="121"/>
      <c r="T63" s="19"/>
      <c r="X63" s="20"/>
    </row>
    <row r="64" spans="1:24" ht="15" customHeight="1" x14ac:dyDescent="0.3">
      <c r="A64" s="83">
        <v>8</v>
      </c>
      <c r="B64" s="84"/>
      <c r="C64" s="85"/>
      <c r="D64" s="85"/>
      <c r="E64" s="85"/>
      <c r="F64" s="86"/>
      <c r="G64" s="85"/>
      <c r="H64" s="85"/>
      <c r="I64" s="85"/>
      <c r="J64" s="85"/>
      <c r="K64" s="87"/>
      <c r="L64" s="87"/>
      <c r="M64" s="85">
        <f>SUM(M58:M63)</f>
        <v>61</v>
      </c>
      <c r="N64" s="86"/>
      <c r="O64" s="88"/>
      <c r="P64" s="60">
        <f>IFERROR(VLOOKUP(A64,[1]WHouse!$B$4:$G$18,6,0),"")</f>
        <v>0</v>
      </c>
      <c r="Q64" s="61">
        <f>SUM(Q58:Q63)</f>
        <v>2547.12</v>
      </c>
      <c r="R64" s="61">
        <f>SUM(R58:R63)</f>
        <v>61</v>
      </c>
      <c r="S64" s="62">
        <f>SUM(Q64:R64)</f>
        <v>2608.12</v>
      </c>
      <c r="T64" s="63">
        <f>S64-(S64*0.04)</f>
        <v>2503.7952</v>
      </c>
      <c r="U64" s="63">
        <f>S64+(S64*0.04)</f>
        <v>2712.4447999999998</v>
      </c>
      <c r="V64" s="45">
        <f>T64-(0.06*T64)</f>
        <v>2353.5674880000001</v>
      </c>
      <c r="W64" s="63">
        <f>U64+(0.06*U64)</f>
        <v>2875.1914879999999</v>
      </c>
      <c r="X64" s="64">
        <f>U64+(0.1*U64)</f>
        <v>2983.6892799999996</v>
      </c>
    </row>
    <row r="65" spans="1:24" ht="15" customHeight="1" x14ac:dyDescent="0.3">
      <c r="A65" s="89">
        <v>9.1</v>
      </c>
      <c r="B65" s="81" t="s">
        <v>162</v>
      </c>
      <c r="C65" s="81" t="s">
        <v>61</v>
      </c>
      <c r="D65" s="81">
        <v>1</v>
      </c>
      <c r="E65" s="81" t="s">
        <v>163</v>
      </c>
      <c r="F65" s="90" t="s">
        <v>164</v>
      </c>
      <c r="G65" s="81" t="s">
        <v>165</v>
      </c>
      <c r="H65" s="81">
        <v>348</v>
      </c>
      <c r="I65" s="81" t="s">
        <v>65</v>
      </c>
      <c r="J65" s="81" t="s">
        <v>65</v>
      </c>
      <c r="K65" s="91">
        <v>2000</v>
      </c>
      <c r="L65" s="91">
        <f>K65*M65</f>
        <v>2000</v>
      </c>
      <c r="M65" s="81">
        <v>1</v>
      </c>
      <c r="N65" s="92" t="s">
        <v>67</v>
      </c>
      <c r="O65" s="93" t="s">
        <v>68</v>
      </c>
      <c r="Q65" s="48">
        <f>(H65*L65)/1000</f>
        <v>696</v>
      </c>
      <c r="R65" s="48">
        <f>M65</f>
        <v>1</v>
      </c>
      <c r="S65" s="48">
        <f>Q65+R65</f>
        <v>697</v>
      </c>
      <c r="T65" s="19"/>
      <c r="X65" s="20"/>
    </row>
    <row r="66" spans="1:24" ht="15" customHeight="1" x14ac:dyDescent="0.3">
      <c r="A66" s="94">
        <v>9</v>
      </c>
      <c r="B66" s="95"/>
      <c r="C66" s="95"/>
      <c r="D66" s="95"/>
      <c r="E66" s="95"/>
      <c r="F66" s="96"/>
      <c r="G66" s="95"/>
      <c r="H66" s="95"/>
      <c r="I66" s="95"/>
      <c r="J66" s="95"/>
      <c r="K66" s="97"/>
      <c r="L66" s="97"/>
      <c r="M66" s="95">
        <f>SUM(M65)</f>
        <v>1</v>
      </c>
      <c r="N66" s="96"/>
      <c r="O66" s="98"/>
      <c r="P66" s="60">
        <f>IFERROR(VLOOKUP(A66,[1]WHouse!$B$4:$G$18,6,0),"")</f>
        <v>0</v>
      </c>
      <c r="Q66" s="61">
        <f>SUM(Q65)</f>
        <v>696</v>
      </c>
      <c r="R66" s="61">
        <f>SUM(R65)</f>
        <v>1</v>
      </c>
      <c r="S66" s="61">
        <f>SUM(Q66:R66)</f>
        <v>697</v>
      </c>
      <c r="T66" s="63">
        <f>S66-(S66*0.04)</f>
        <v>669.12</v>
      </c>
      <c r="U66" s="63">
        <f>S66+(S66*0.04)</f>
        <v>724.88</v>
      </c>
      <c r="V66" s="45">
        <f>T66-(0.06*T66)</f>
        <v>628.97280000000001</v>
      </c>
      <c r="W66" s="63">
        <f>U66+(0.06*U66)</f>
        <v>768.37279999999998</v>
      </c>
      <c r="X66" s="64">
        <f>U66+(0.1*U66)</f>
        <v>797.36799999999994</v>
      </c>
    </row>
    <row r="67" spans="1:24" ht="15" customHeight="1" x14ac:dyDescent="0.3">
      <c r="A67" s="13">
        <v>10.1</v>
      </c>
      <c r="B67" s="124" t="s">
        <v>166</v>
      </c>
      <c r="C67" s="125" t="s">
        <v>167</v>
      </c>
      <c r="D67" s="125">
        <v>1</v>
      </c>
      <c r="E67" s="125" t="s">
        <v>168</v>
      </c>
      <c r="F67" s="78" t="s">
        <v>169</v>
      </c>
      <c r="G67" s="1" t="s">
        <v>170</v>
      </c>
      <c r="H67" s="1">
        <v>348</v>
      </c>
      <c r="I67" s="1" t="s">
        <v>65</v>
      </c>
      <c r="J67" s="1" t="s">
        <v>65</v>
      </c>
      <c r="K67" s="15">
        <v>440</v>
      </c>
      <c r="L67" s="15">
        <f>K67*M67</f>
        <v>440</v>
      </c>
      <c r="M67" s="1">
        <v>1</v>
      </c>
      <c r="N67" s="99" t="s">
        <v>67</v>
      </c>
      <c r="O67" s="80" t="s">
        <v>68</v>
      </c>
      <c r="Q67" s="48">
        <f>(H67*L67)/1000</f>
        <v>153.12</v>
      </c>
      <c r="R67" s="48">
        <f>M67</f>
        <v>1</v>
      </c>
      <c r="S67" s="121">
        <f>SUM(Q67:R70)</f>
        <v>463.36</v>
      </c>
      <c r="T67" s="19"/>
      <c r="X67" s="20"/>
    </row>
    <row r="68" spans="1:24" ht="15" customHeight="1" x14ac:dyDescent="0.3">
      <c r="A68" s="21">
        <v>10.1</v>
      </c>
      <c r="B68" s="124"/>
      <c r="C68" s="125"/>
      <c r="D68" s="125"/>
      <c r="E68" s="125"/>
      <c r="F68" s="24" t="s">
        <v>171</v>
      </c>
      <c r="G68" s="23" t="s">
        <v>172</v>
      </c>
      <c r="H68" s="23">
        <v>348</v>
      </c>
      <c r="I68" s="23" t="s">
        <v>65</v>
      </c>
      <c r="J68" s="23" t="s">
        <v>65</v>
      </c>
      <c r="K68" s="25">
        <v>220</v>
      </c>
      <c r="L68" s="26">
        <f>K68*M68</f>
        <v>220</v>
      </c>
      <c r="M68" s="23">
        <v>1</v>
      </c>
      <c r="N68" s="68" t="s">
        <v>67</v>
      </c>
      <c r="O68" s="69" t="s">
        <v>68</v>
      </c>
      <c r="Q68" s="48">
        <f>(H68*L68)/1000</f>
        <v>76.56</v>
      </c>
      <c r="R68" s="48">
        <f>M68</f>
        <v>1</v>
      </c>
      <c r="S68" s="121"/>
      <c r="T68" s="19"/>
      <c r="X68" s="20"/>
    </row>
    <row r="69" spans="1:24" ht="15" customHeight="1" x14ac:dyDescent="0.3">
      <c r="A69" s="21">
        <v>10.1</v>
      </c>
      <c r="B69" s="124"/>
      <c r="C69" s="125"/>
      <c r="D69" s="125"/>
      <c r="E69" s="125"/>
      <c r="F69" s="67" t="s">
        <v>173</v>
      </c>
      <c r="G69" s="23" t="s">
        <v>174</v>
      </c>
      <c r="H69" s="23">
        <v>348</v>
      </c>
      <c r="I69" s="23" t="s">
        <v>65</v>
      </c>
      <c r="J69" s="23" t="s">
        <v>65</v>
      </c>
      <c r="K69" s="25">
        <v>440</v>
      </c>
      <c r="L69" s="26">
        <f>K69*M69</f>
        <v>440</v>
      </c>
      <c r="M69" s="23">
        <v>1</v>
      </c>
      <c r="N69" s="68" t="s">
        <v>67</v>
      </c>
      <c r="O69" s="69" t="s">
        <v>68</v>
      </c>
      <c r="Q69" s="48">
        <f>(H69*L69)/1000</f>
        <v>153.12</v>
      </c>
      <c r="R69" s="48">
        <f>M69</f>
        <v>1</v>
      </c>
      <c r="S69" s="121"/>
      <c r="T69" s="19"/>
      <c r="X69" s="20"/>
    </row>
    <row r="70" spans="1:24" ht="15" customHeight="1" x14ac:dyDescent="0.3">
      <c r="A70" s="51">
        <v>10.1</v>
      </c>
      <c r="B70" s="124"/>
      <c r="C70" s="125"/>
      <c r="D70" s="125"/>
      <c r="E70" s="125"/>
      <c r="F70" s="71" t="s">
        <v>175</v>
      </c>
      <c r="G70" s="3" t="s">
        <v>176</v>
      </c>
      <c r="H70" s="3">
        <v>348</v>
      </c>
      <c r="I70" s="3" t="s">
        <v>65</v>
      </c>
      <c r="J70" s="3" t="s">
        <v>65</v>
      </c>
      <c r="K70" s="31">
        <v>220</v>
      </c>
      <c r="L70" s="32">
        <f>K70*M70</f>
        <v>220</v>
      </c>
      <c r="M70" s="3">
        <v>1</v>
      </c>
      <c r="N70" s="100" t="s">
        <v>67</v>
      </c>
      <c r="O70" s="73" t="s">
        <v>68</v>
      </c>
      <c r="Q70" s="48">
        <f>(H70*L70)/1000</f>
        <v>76.56</v>
      </c>
      <c r="R70" s="48">
        <f>M70</f>
        <v>1</v>
      </c>
      <c r="S70" s="121"/>
      <c r="T70" s="19"/>
      <c r="X70" s="20"/>
    </row>
    <row r="71" spans="1:24" ht="15" customHeight="1" x14ac:dyDescent="0.3">
      <c r="A71" s="83">
        <v>10</v>
      </c>
      <c r="B71" s="84"/>
      <c r="C71" s="85"/>
      <c r="D71" s="85"/>
      <c r="E71" s="85"/>
      <c r="F71" s="86"/>
      <c r="G71" s="85"/>
      <c r="H71" s="85"/>
      <c r="I71" s="85"/>
      <c r="J71" s="85"/>
      <c r="K71" s="87"/>
      <c r="L71" s="87"/>
      <c r="M71" s="85">
        <f>SUM(M67:M70)</f>
        <v>4</v>
      </c>
      <c r="N71" s="86"/>
      <c r="O71" s="88"/>
      <c r="P71" s="60">
        <f>IFERROR(VLOOKUP(A71,[1]WHouse!$B$4:$G$18,6,0),"")</f>
        <v>0</v>
      </c>
      <c r="Q71" s="61">
        <f>SUM(Q67:Q70)</f>
        <v>459.36</v>
      </c>
      <c r="R71" s="61">
        <f>SUM(R67:R70)</f>
        <v>4</v>
      </c>
      <c r="S71" s="62">
        <f>SUM(Q71:R71)</f>
        <v>463.36</v>
      </c>
      <c r="T71" s="63">
        <f>S71-(S71*0.04)</f>
        <v>444.82560000000001</v>
      </c>
      <c r="U71" s="63">
        <f>S71+(S71*0.04)</f>
        <v>481.89440000000002</v>
      </c>
      <c r="V71" s="45">
        <f>T71-(0.06*T71)</f>
        <v>418.13606400000003</v>
      </c>
      <c r="W71" s="63">
        <f>U71+(0.06*U71)</f>
        <v>510.808064</v>
      </c>
      <c r="X71" s="64">
        <f>U71+(0.1*U71)</f>
        <v>530.08384000000001</v>
      </c>
    </row>
    <row r="72" spans="1:24" ht="15" customHeight="1" x14ac:dyDescent="0.3">
      <c r="A72" s="89">
        <v>11</v>
      </c>
      <c r="B72" s="81" t="s">
        <v>177</v>
      </c>
      <c r="C72" s="81" t="s">
        <v>178</v>
      </c>
      <c r="D72" s="81">
        <v>1</v>
      </c>
      <c r="E72" s="81" t="s">
        <v>179</v>
      </c>
      <c r="F72" s="90" t="s">
        <v>180</v>
      </c>
      <c r="G72" s="81" t="s">
        <v>181</v>
      </c>
      <c r="H72" s="81">
        <v>348</v>
      </c>
      <c r="I72" s="81" t="s">
        <v>65</v>
      </c>
      <c r="J72" s="81" t="s">
        <v>65</v>
      </c>
      <c r="K72" s="91">
        <v>5000</v>
      </c>
      <c r="L72" s="91">
        <f>K72*M72</f>
        <v>5000</v>
      </c>
      <c r="M72" s="81">
        <v>1</v>
      </c>
      <c r="N72" s="92" t="s">
        <v>67</v>
      </c>
      <c r="O72" s="93" t="s">
        <v>68</v>
      </c>
      <c r="Q72" s="48">
        <f>(H72*L72)/1000</f>
        <v>1740</v>
      </c>
      <c r="R72" s="48">
        <f>M72</f>
        <v>1</v>
      </c>
      <c r="S72" s="48">
        <f>Q72</f>
        <v>1740</v>
      </c>
      <c r="T72" s="19"/>
      <c r="X72" s="20"/>
    </row>
    <row r="73" spans="1:24" ht="15" customHeight="1" x14ac:dyDescent="0.3">
      <c r="A73" s="127">
        <v>12</v>
      </c>
      <c r="B73" s="125" t="s">
        <v>177</v>
      </c>
      <c r="C73" s="125" t="s">
        <v>61</v>
      </c>
      <c r="D73" s="125">
        <v>1</v>
      </c>
      <c r="E73" s="1" t="s">
        <v>182</v>
      </c>
      <c r="F73" s="14" t="s">
        <v>183</v>
      </c>
      <c r="G73" s="1" t="s">
        <v>184</v>
      </c>
      <c r="H73" s="1">
        <v>348</v>
      </c>
      <c r="I73" s="1" t="s">
        <v>65</v>
      </c>
      <c r="J73" s="1" t="s">
        <v>65</v>
      </c>
      <c r="K73" s="15">
        <v>3000</v>
      </c>
      <c r="L73" s="15">
        <f>K73*M73</f>
        <v>3000</v>
      </c>
      <c r="M73" s="1">
        <v>1</v>
      </c>
      <c r="N73" s="99" t="s">
        <v>67</v>
      </c>
      <c r="O73" s="80" t="s">
        <v>68</v>
      </c>
      <c r="Q73" s="48">
        <f>(H73*L73)/1000</f>
        <v>1044</v>
      </c>
      <c r="R73" s="48">
        <f>M73</f>
        <v>1</v>
      </c>
      <c r="S73" s="121">
        <f>SUM(Q73:Q74)</f>
        <v>2088</v>
      </c>
      <c r="T73" s="19"/>
      <c r="X73" s="20"/>
    </row>
    <row r="74" spans="1:24" ht="15" customHeight="1" x14ac:dyDescent="0.3">
      <c r="A74" s="127"/>
      <c r="B74" s="125"/>
      <c r="C74" s="125"/>
      <c r="D74" s="125"/>
      <c r="E74" s="3">
        <v>2000062701</v>
      </c>
      <c r="F74" s="71" t="s">
        <v>185</v>
      </c>
      <c r="G74" s="3" t="s">
        <v>186</v>
      </c>
      <c r="H74" s="3">
        <v>348</v>
      </c>
      <c r="I74" s="3" t="s">
        <v>65</v>
      </c>
      <c r="J74" s="3" t="s">
        <v>65</v>
      </c>
      <c r="K74" s="31">
        <v>3000</v>
      </c>
      <c r="L74" s="32">
        <f>K74*M74</f>
        <v>3000</v>
      </c>
      <c r="M74" s="3">
        <v>1</v>
      </c>
      <c r="N74" s="100" t="s">
        <v>67</v>
      </c>
      <c r="O74" s="73" t="s">
        <v>68</v>
      </c>
      <c r="Q74" s="48">
        <f>(H74*L74)/1000</f>
        <v>1044</v>
      </c>
      <c r="R74" s="48">
        <f>M74</f>
        <v>1</v>
      </c>
      <c r="S74" s="121"/>
      <c r="T74" s="101"/>
      <c r="U74" s="102"/>
      <c r="V74" s="102"/>
      <c r="W74" s="102"/>
      <c r="X74" s="103"/>
    </row>
    <row r="75" spans="1:24" ht="15" customHeight="1" x14ac:dyDescent="0.3">
      <c r="A75" s="126" t="s">
        <v>187</v>
      </c>
      <c r="B75" s="126"/>
      <c r="C75" s="126"/>
      <c r="D75" s="126"/>
      <c r="E75" s="126"/>
      <c r="F75" s="126"/>
      <c r="G75" s="126"/>
      <c r="H75" s="126"/>
      <c r="I75" s="126"/>
      <c r="J75" s="126"/>
      <c r="K75" s="104"/>
      <c r="L75" s="105">
        <f>SUM(L6:L74)</f>
        <v>479140</v>
      </c>
      <c r="M75" s="104">
        <f>SUM(M6:M74)</f>
        <v>1081</v>
      </c>
      <c r="N75" s="106"/>
      <c r="O75" s="106"/>
    </row>
  </sheetData>
  <mergeCells count="75">
    <mergeCell ref="A75:J75"/>
    <mergeCell ref="A73:A74"/>
    <mergeCell ref="B73:B74"/>
    <mergeCell ref="C73:C74"/>
    <mergeCell ref="D73:D74"/>
    <mergeCell ref="S73:S74"/>
    <mergeCell ref="B58:B62"/>
    <mergeCell ref="C58:C62"/>
    <mergeCell ref="D58:D62"/>
    <mergeCell ref="S58:S63"/>
    <mergeCell ref="B67:B70"/>
    <mergeCell ref="C67:C70"/>
    <mergeCell ref="D67:D70"/>
    <mergeCell ref="E67:E70"/>
    <mergeCell ref="S67:S70"/>
    <mergeCell ref="B49:B50"/>
    <mergeCell ref="C49:C50"/>
    <mergeCell ref="D49:D50"/>
    <mergeCell ref="S49:S50"/>
    <mergeCell ref="S52:S56"/>
    <mergeCell ref="B53:B56"/>
    <mergeCell ref="C53:C56"/>
    <mergeCell ref="D53:D56"/>
    <mergeCell ref="B40:B44"/>
    <mergeCell ref="C40:C44"/>
    <mergeCell ref="D40:D44"/>
    <mergeCell ref="S40:S47"/>
    <mergeCell ref="B45:B46"/>
    <mergeCell ref="C45:C46"/>
    <mergeCell ref="D45:D46"/>
    <mergeCell ref="S21:S26"/>
    <mergeCell ref="B22:B26"/>
    <mergeCell ref="C22:C26"/>
    <mergeCell ref="D22:D26"/>
    <mergeCell ref="B28:B36"/>
    <mergeCell ref="C28:C36"/>
    <mergeCell ref="D28:D36"/>
    <mergeCell ref="S28:S38"/>
    <mergeCell ref="B37:B38"/>
    <mergeCell ref="C37:C38"/>
    <mergeCell ref="D37:D38"/>
    <mergeCell ref="B14:B15"/>
    <mergeCell ref="C14:C15"/>
    <mergeCell ref="D14:D15"/>
    <mergeCell ref="S14:S19"/>
    <mergeCell ref="B16:B19"/>
    <mergeCell ref="C16:C19"/>
    <mergeCell ref="D16:D19"/>
    <mergeCell ref="V4:W4"/>
    <mergeCell ref="X4:X5"/>
    <mergeCell ref="S6:S12"/>
    <mergeCell ref="B8:B12"/>
    <mergeCell ref="C8:C12"/>
    <mergeCell ref="D8:D12"/>
    <mergeCell ref="P4:P5"/>
    <mergeCell ref="Q4:Q5"/>
    <mergeCell ref="R4:R5"/>
    <mergeCell ref="S4:S5"/>
    <mergeCell ref="T4:U4"/>
    <mergeCell ref="A1:O2"/>
    <mergeCell ref="A3:O3"/>
    <mergeCell ref="A4:A5"/>
    <mergeCell ref="B4:B5"/>
    <mergeCell ref="C4:C5"/>
    <mergeCell ref="D4:D5"/>
    <mergeCell ref="E4:E5"/>
    <mergeCell ref="F4:F5"/>
    <mergeCell ref="G4:H4"/>
    <mergeCell ref="I4:I5"/>
    <mergeCell ref="J4:J5"/>
    <mergeCell ref="K4:K5"/>
    <mergeCell ref="L4:L5"/>
    <mergeCell ref="M4:M5"/>
    <mergeCell ref="N4:N5"/>
    <mergeCell ref="O4:O5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93fd1cce-d1bd-42e0-9dbf-c622a6083db3}" enabled="0" method="" siteId="{93fd1cce-d1bd-42e0-9dbf-c622a6083d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 Sabar</dc:creator>
  <dc:description/>
  <cp:lastModifiedBy>Muhammad Andi Purnama Sabar Sabar</cp:lastModifiedBy>
  <cp:revision>1</cp:revision>
  <dcterms:created xsi:type="dcterms:W3CDTF">2025-07-01T04:51:41Z</dcterms:created>
  <dcterms:modified xsi:type="dcterms:W3CDTF">2026-06-19T06:53:54Z</dcterms:modified>
  <dc:language>en-US</dc:language>
</cp:coreProperties>
</file>