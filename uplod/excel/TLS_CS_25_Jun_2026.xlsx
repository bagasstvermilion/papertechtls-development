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S\Daily CS Report\0. TLS\"/>
    </mc:Choice>
  </mc:AlternateContent>
  <xr:revisionPtr revIDLastSave="0" documentId="13_ncr:1_{73F65073-FA6E-48D8-BBBC-C93690418335}" xr6:coauthVersionLast="47" xr6:coauthVersionMax="47" xr10:uidLastSave="{00000000-0000-0000-0000-000000000000}"/>
  <bookViews>
    <workbookView xWindow="-110" yWindow="-110" windowWidth="19420" windowHeight="10300" xr2:uid="{9B489B40-9DF2-4BA1-9563-1D9D50285D23}"/>
  </bookViews>
  <sheets>
    <sheet name="CS Form" sheetId="6" r:id="rId1"/>
  </sheets>
  <externalReferences>
    <externalReference r:id="rId2"/>
  </externalReferences>
  <definedNames>
    <definedName name="Print_Area_M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6" l="1"/>
  <c r="K37" i="6"/>
  <c r="P36" i="6"/>
  <c r="J36" i="6"/>
  <c r="O36" i="6" s="1"/>
  <c r="P35" i="6"/>
  <c r="P37" i="6" s="1"/>
  <c r="J35" i="6"/>
  <c r="O35" i="6" s="1"/>
  <c r="P34" i="6"/>
  <c r="J34" i="6"/>
  <c r="O34" i="6" s="1"/>
  <c r="P33" i="6"/>
  <c r="J33" i="6"/>
  <c r="O33" i="6" s="1"/>
  <c r="P28" i="6"/>
  <c r="P27" i="6"/>
  <c r="J28" i="6"/>
  <c r="O28" i="6" s="1"/>
  <c r="J27" i="6"/>
  <c r="O27" i="6" s="1"/>
  <c r="N32" i="6"/>
  <c r="K32" i="6"/>
  <c r="P31" i="6"/>
  <c r="J31" i="6"/>
  <c r="O31" i="6" s="1"/>
  <c r="P30" i="6"/>
  <c r="J30" i="6"/>
  <c r="O30" i="6" s="1"/>
  <c r="P29" i="6"/>
  <c r="J29" i="6"/>
  <c r="O29" i="6" s="1"/>
  <c r="P26" i="6"/>
  <c r="J26" i="6"/>
  <c r="O26" i="6" s="1"/>
  <c r="P25" i="6"/>
  <c r="J25" i="6"/>
  <c r="O25" i="6" s="1"/>
  <c r="N24" i="6"/>
  <c r="K24" i="6"/>
  <c r="P23" i="6"/>
  <c r="J23" i="6"/>
  <c r="O23" i="6" s="1"/>
  <c r="P22" i="6"/>
  <c r="J22" i="6"/>
  <c r="O22" i="6" s="1"/>
  <c r="P21" i="6"/>
  <c r="J21" i="6"/>
  <c r="O21" i="6" s="1"/>
  <c r="P20" i="6"/>
  <c r="J20" i="6"/>
  <c r="O20" i="6" s="1"/>
  <c r="P6" i="6"/>
  <c r="N19" i="6"/>
  <c r="K19" i="6"/>
  <c r="P18" i="6"/>
  <c r="J18" i="6"/>
  <c r="O18" i="6" s="1"/>
  <c r="P17" i="6"/>
  <c r="J17" i="6"/>
  <c r="O17" i="6" s="1"/>
  <c r="P16" i="6"/>
  <c r="J16" i="6"/>
  <c r="O16" i="6" s="1"/>
  <c r="P15" i="6"/>
  <c r="J15" i="6"/>
  <c r="O15" i="6" s="1"/>
  <c r="P14" i="6"/>
  <c r="J14" i="6"/>
  <c r="O14" i="6" s="1"/>
  <c r="N13" i="6"/>
  <c r="K13" i="6"/>
  <c r="P12" i="6"/>
  <c r="J12" i="6"/>
  <c r="O12" i="6" s="1"/>
  <c r="P11" i="6"/>
  <c r="J11" i="6"/>
  <c r="O11" i="6" s="1"/>
  <c r="P10" i="6"/>
  <c r="J10" i="6"/>
  <c r="O10" i="6" s="1"/>
  <c r="P9" i="6"/>
  <c r="J9" i="6"/>
  <c r="O9" i="6" s="1"/>
  <c r="P8" i="6"/>
  <c r="J8" i="6"/>
  <c r="O8" i="6" s="1"/>
  <c r="P7" i="6"/>
  <c r="J7" i="6"/>
  <c r="O7" i="6" s="1"/>
  <c r="J6" i="6"/>
  <c r="O6" i="6" s="1"/>
  <c r="Q33" i="6" l="1"/>
  <c r="O37" i="6"/>
  <c r="Q37" i="6" s="1"/>
  <c r="P32" i="6"/>
  <c r="O32" i="6"/>
  <c r="Q32" i="6" s="1"/>
  <c r="Q25" i="6"/>
  <c r="P24" i="6"/>
  <c r="Q20" i="6"/>
  <c r="O24" i="6"/>
  <c r="Q24" i="6" s="1"/>
  <c r="P13" i="6"/>
  <c r="P19" i="6"/>
  <c r="Q14" i="6"/>
  <c r="O19" i="6"/>
  <c r="R37" i="6" l="1"/>
  <c r="T37" i="6" s="1"/>
  <c r="S37" i="6"/>
  <c r="S32" i="6"/>
  <c r="R32" i="6"/>
  <c r="T32" i="6" s="1"/>
  <c r="S24" i="6"/>
  <c r="R24" i="6"/>
  <c r="T24" i="6" s="1"/>
  <c r="Q19" i="6"/>
  <c r="R19" i="6" s="1"/>
  <c r="T19" i="6" s="1"/>
  <c r="O13" i="6"/>
  <c r="Q13" i="6" s="1"/>
  <c r="Q6" i="6"/>
  <c r="S19" i="6"/>
  <c r="V37" i="6" l="1"/>
  <c r="U37" i="6"/>
  <c r="V32" i="6"/>
  <c r="U32" i="6"/>
  <c r="V24" i="6"/>
  <c r="U24" i="6"/>
  <c r="U19" i="6"/>
  <c r="V19" i="6"/>
  <c r="S13" i="6"/>
  <c r="R13" i="6"/>
  <c r="T13" i="6" s="1"/>
  <c r="V13" i="6" l="1"/>
  <c r="U13" i="6"/>
</calcChain>
</file>

<file path=xl/sharedStrings.xml><?xml version="1.0" encoding="utf-8"?>
<sst xmlns="http://schemas.openxmlformats.org/spreadsheetml/2006/main" count="221" uniqueCount="56">
  <si>
    <t>Max</t>
  </si>
  <si>
    <t>Min</t>
  </si>
  <si>
    <t>WARNING</t>
  </si>
  <si>
    <t>TOLERANSI</t>
  </si>
  <si>
    <t>NORMAL</t>
  </si>
  <si>
    <t>Kedatangan Truck</t>
  </si>
  <si>
    <t>Nama Customer</t>
  </si>
  <si>
    <t>Urutan Bongkar</t>
  </si>
  <si>
    <t>Item Desc</t>
  </si>
  <si>
    <t>Color</t>
  </si>
  <si>
    <t>Pattern Nose</t>
  </si>
  <si>
    <t>Qty/Pcs</t>
  </si>
  <si>
    <t>Status</t>
  </si>
  <si>
    <t>Waktu Muat</t>
  </si>
  <si>
    <t>No Color</t>
  </si>
  <si>
    <t>No Pattern</t>
  </si>
  <si>
    <t>Stock Ready</t>
  </si>
  <si>
    <t>Muat Gantung</t>
  </si>
  <si>
    <t>Brown</t>
  </si>
  <si>
    <t>Solid</t>
  </si>
  <si>
    <t>Blue</t>
  </si>
  <si>
    <t>Lime</t>
  </si>
  <si>
    <t>Star</t>
  </si>
  <si>
    <t>Green</t>
  </si>
  <si>
    <t>INDO LIBERTY TEXTILES, PT.</t>
  </si>
  <si>
    <t>White</t>
  </si>
  <si>
    <t>Grey</t>
  </si>
  <si>
    <t>Slash</t>
  </si>
  <si>
    <t>Triangle</t>
  </si>
  <si>
    <t>Red</t>
  </si>
  <si>
    <t>Dots</t>
  </si>
  <si>
    <t>Pink</t>
  </si>
  <si>
    <t>Qty Box / pallet</t>
  </si>
  <si>
    <t>Qty/(Box/pallet)</t>
  </si>
  <si>
    <t>type</t>
  </si>
  <si>
    <t>weight</t>
  </si>
  <si>
    <t>Cone 4'20</t>
  </si>
  <si>
    <t>BERAT ISI TRUCK</t>
  </si>
  <si>
    <t>BERAT TOTAL (Kg)</t>
  </si>
  <si>
    <t>BERAT box (Kg)</t>
  </si>
  <si>
    <t>di lock</t>
  </si>
  <si>
    <t xml:space="preserve">Region </t>
  </si>
  <si>
    <t>B</t>
  </si>
  <si>
    <t>A</t>
  </si>
  <si>
    <t>Ocean Green</t>
  </si>
  <si>
    <t xml:space="preserve">Tube </t>
  </si>
  <si>
    <t>Band Hearts</t>
  </si>
  <si>
    <t>Band Star</t>
  </si>
  <si>
    <t>Purple</t>
  </si>
  <si>
    <t>Dew/Embun</t>
  </si>
  <si>
    <t>Olive</t>
  </si>
  <si>
    <t>Half Moon</t>
  </si>
  <si>
    <t>Vertical</t>
  </si>
  <si>
    <t>PT ADE TEXTILE INDUSTRIES</t>
  </si>
  <si>
    <t>INDO-RAMA SYNTHETICS TBK, PT.</t>
  </si>
  <si>
    <t>JOANTEX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</si>
</sst>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.00_);_(* \(#,##0.00\);_(* &quot;-&quot;??_);_(@_)"/>
    <numFmt numFmtId="166" formatCode="_(* #,##0_);_(* \(#,##0\);_(* &quot;-&quot;??_);_(@_)"/>
    <numFmt numFmtId="169" formatCode="dd/mm/yyyy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8"/>
      <color rgb="FF000000"/>
      <name val="Calibri"/>
      <family val="2"/>
    </font>
    <font>
      <sz val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rgb="FFFFFFFF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7">
    <xf numFmtId="0" fontId="0" fillId="0" borderId="0" xfId="0"/>
    <xf numFmtId="0" fontId="4" fillId="5" borderId="14" xfId="2" applyFont="1" applyFill="1" applyBorder="1" applyAlignment="1">
      <alignment horizontal="center" vertical="center" wrapText="1"/>
    </xf>
    <xf numFmtId="0" fontId="4" fillId="5" borderId="15" xfId="2" applyFont="1" applyFill="1" applyBorder="1" applyAlignment="1">
      <alignment horizontal="center" vertical="center" wrapText="1"/>
    </xf>
    <xf numFmtId="166" fontId="5" fillId="6" borderId="1" xfId="3" applyNumberFormat="1" applyFont="1" applyFill="1" applyBorder="1" applyAlignment="1">
      <alignment horizontal="center"/>
    </xf>
    <xf numFmtId="0" fontId="3" fillId="4" borderId="16" xfId="2" applyFont="1" applyFill="1" applyBorder="1" applyAlignment="1">
      <alignment horizontal="center" vertical="center"/>
    </xf>
    <xf numFmtId="0" fontId="3" fillId="0" borderId="17" xfId="2" applyFont="1" applyBorder="1" applyAlignment="1">
      <alignment horizontal="center" vertical="center"/>
    </xf>
    <xf numFmtId="41" fontId="3" fillId="0" borderId="17" xfId="4" applyFont="1" applyBorder="1" applyAlignment="1">
      <alignment horizontal="center" vertical="center"/>
    </xf>
    <xf numFmtId="41" fontId="3" fillId="0" borderId="1" xfId="2" applyNumberFormat="1" applyFont="1" applyBorder="1"/>
    <xf numFmtId="0" fontId="3" fillId="0" borderId="10" xfId="2" applyFont="1" applyBorder="1" applyAlignment="1">
      <alignment horizontal="center" vertical="center"/>
    </xf>
    <xf numFmtId="41" fontId="3" fillId="0" borderId="9" xfId="4" applyFont="1" applyBorder="1" applyAlignment="1">
      <alignment horizontal="center" vertical="center"/>
    </xf>
    <xf numFmtId="0" fontId="4" fillId="7" borderId="19" xfId="2" applyFont="1" applyFill="1" applyBorder="1" applyAlignment="1">
      <alignment horizontal="center" vertical="center"/>
    </xf>
    <xf numFmtId="0" fontId="4" fillId="2" borderId="11" xfId="2" applyFont="1" applyFill="1" applyBorder="1" applyAlignment="1">
      <alignment horizontal="center" vertical="center"/>
    </xf>
    <xf numFmtId="0" fontId="4" fillId="2" borderId="11" xfId="2" applyFont="1" applyFill="1" applyBorder="1" applyAlignment="1">
      <alignment horizontal="left" vertical="center"/>
    </xf>
    <xf numFmtId="41" fontId="4" fillId="2" borderId="11" xfId="4" applyFont="1" applyFill="1" applyBorder="1" applyAlignment="1">
      <alignment horizontal="center" vertical="center"/>
    </xf>
    <xf numFmtId="0" fontId="4" fillId="2" borderId="28" xfId="2" applyFont="1" applyFill="1" applyBorder="1" applyAlignment="1">
      <alignment horizontal="left" vertical="center"/>
    </xf>
    <xf numFmtId="0" fontId="4" fillId="7" borderId="26" xfId="2" applyFont="1" applyFill="1" applyBorder="1" applyAlignment="1">
      <alignment horizontal="center" vertical="center"/>
    </xf>
    <xf numFmtId="166" fontId="5" fillId="6" borderId="25" xfId="3" applyNumberFormat="1" applyFont="1" applyFill="1" applyBorder="1" applyAlignment="1">
      <alignment horizontal="center"/>
    </xf>
    <xf numFmtId="0" fontId="3" fillId="0" borderId="1" xfId="2" applyFont="1" applyBorder="1" applyAlignment="1">
      <alignment horizontal="center" vertical="center"/>
    </xf>
    <xf numFmtId="0" fontId="3" fillId="0" borderId="16" xfId="2" applyFont="1" applyBorder="1" applyAlignment="1">
      <alignment horizontal="center" vertical="center"/>
    </xf>
    <xf numFmtId="41" fontId="3" fillId="0" borderId="17" xfId="4" applyFont="1" applyFill="1" applyBorder="1" applyAlignment="1">
      <alignment horizontal="center" vertical="center"/>
    </xf>
    <xf numFmtId="0" fontId="3" fillId="0" borderId="17" xfId="2" applyFont="1" applyBorder="1" applyAlignment="1">
      <alignment horizontal="left" vertical="center"/>
    </xf>
    <xf numFmtId="0" fontId="3" fillId="0" borderId="18" xfId="2" applyFont="1" applyBorder="1" applyAlignment="1">
      <alignment horizontal="left" vertical="center"/>
    </xf>
    <xf numFmtId="41" fontId="3" fillId="0" borderId="9" xfId="4" applyFont="1" applyFill="1" applyBorder="1" applyAlignment="1">
      <alignment horizontal="center" vertical="center"/>
    </xf>
    <xf numFmtId="0" fontId="3" fillId="0" borderId="9" xfId="2" applyFont="1" applyBorder="1" applyAlignment="1">
      <alignment horizontal="left" vertical="center"/>
    </xf>
    <xf numFmtId="0" fontId="3" fillId="0" borderId="20" xfId="2" applyFont="1" applyBorder="1" applyAlignment="1">
      <alignment horizontal="left" vertical="center"/>
    </xf>
    <xf numFmtId="0" fontId="3" fillId="0" borderId="10" xfId="2" applyFont="1" applyBorder="1" applyAlignment="1">
      <alignment horizontal="left" vertical="center"/>
    </xf>
    <xf numFmtId="41" fontId="3" fillId="0" borderId="21" xfId="4" applyFont="1" applyFill="1" applyBorder="1" applyAlignment="1">
      <alignment horizontal="center" vertical="center"/>
    </xf>
    <xf numFmtId="0" fontId="3" fillId="0" borderId="22" xfId="2" applyFont="1" applyBorder="1" applyAlignment="1">
      <alignment horizontal="center" vertical="center"/>
    </xf>
    <xf numFmtId="0" fontId="3" fillId="0" borderId="22" xfId="2" applyFont="1" applyBorder="1" applyAlignment="1">
      <alignment horizontal="left" vertical="center"/>
    </xf>
    <xf numFmtId="0" fontId="3" fillId="0" borderId="23" xfId="2" applyFont="1" applyBorder="1" applyAlignment="1">
      <alignment horizontal="left" vertical="center"/>
    </xf>
    <xf numFmtId="0" fontId="3" fillId="0" borderId="29" xfId="2" applyFont="1" applyBorder="1" applyAlignment="1">
      <alignment horizontal="center" vertical="center"/>
    </xf>
    <xf numFmtId="41" fontId="3" fillId="0" borderId="30" xfId="4" applyFont="1" applyFill="1" applyBorder="1" applyAlignment="1">
      <alignment horizontal="center" vertical="center"/>
    </xf>
    <xf numFmtId="41" fontId="3" fillId="0" borderId="31" xfId="4" applyFont="1" applyFill="1" applyBorder="1" applyAlignment="1">
      <alignment horizontal="center" vertical="center"/>
    </xf>
    <xf numFmtId="41" fontId="3" fillId="0" borderId="30" xfId="4" applyFont="1" applyBorder="1" applyAlignment="1">
      <alignment horizontal="center" vertical="center"/>
    </xf>
    <xf numFmtId="41" fontId="3" fillId="0" borderId="31" xfId="4" applyFont="1" applyBorder="1" applyAlignment="1">
      <alignment horizontal="center" vertical="center"/>
    </xf>
    <xf numFmtId="0" fontId="3" fillId="4" borderId="32" xfId="2" applyFont="1" applyFill="1" applyBorder="1" applyAlignment="1">
      <alignment horizontal="center" vertical="center"/>
    </xf>
    <xf numFmtId="0" fontId="3" fillId="0" borderId="24" xfId="2" applyFont="1" applyBorder="1" applyAlignment="1">
      <alignment horizontal="center" vertical="center"/>
    </xf>
    <xf numFmtId="0" fontId="3" fillId="0" borderId="3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/>
    </xf>
    <xf numFmtId="0" fontId="3" fillId="0" borderId="0" xfId="2" applyFont="1"/>
    <xf numFmtId="166" fontId="3" fillId="0" borderId="0" xfId="3" applyNumberFormat="1" applyFont="1"/>
    <xf numFmtId="166" fontId="4" fillId="2" borderId="1" xfId="3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166" fontId="3" fillId="0" borderId="14" xfId="3" applyNumberFormat="1" applyFont="1" applyFill="1" applyBorder="1"/>
    <xf numFmtId="166" fontId="3" fillId="0" borderId="0" xfId="3" applyNumberFormat="1" applyFont="1" applyFill="1" applyBorder="1"/>
    <xf numFmtId="166" fontId="3" fillId="0" borderId="15" xfId="3" applyNumberFormat="1" applyFont="1" applyFill="1" applyBorder="1"/>
    <xf numFmtId="0" fontId="4" fillId="2" borderId="0" xfId="2" applyFont="1" applyFill="1" applyAlignment="1">
      <alignment horizontal="center" vertical="center"/>
    </xf>
    <xf numFmtId="0" fontId="4" fillId="2" borderId="27" xfId="2" applyFont="1" applyFill="1" applyBorder="1" applyAlignment="1">
      <alignment horizontal="center" vertical="center"/>
    </xf>
    <xf numFmtId="0" fontId="4" fillId="2" borderId="6" xfId="2" applyFont="1" applyFill="1" applyBorder="1" applyAlignment="1">
      <alignment horizontal="center" vertical="center"/>
    </xf>
    <xf numFmtId="0" fontId="4" fillId="2" borderId="5" xfId="2" applyFont="1" applyFill="1" applyBorder="1" applyAlignment="1">
      <alignment horizontal="center" vertical="center"/>
    </xf>
    <xf numFmtId="41" fontId="4" fillId="2" borderId="27" xfId="4" applyFont="1" applyFill="1" applyBorder="1" applyAlignment="1">
      <alignment horizontal="center" vertical="center"/>
    </xf>
    <xf numFmtId="0" fontId="4" fillId="2" borderId="0" xfId="2" applyFont="1" applyFill="1" applyAlignment="1">
      <alignment horizontal="center"/>
    </xf>
    <xf numFmtId="41" fontId="4" fillId="2" borderId="1" xfId="2" applyNumberFormat="1" applyFont="1" applyFill="1" applyBorder="1"/>
    <xf numFmtId="41" fontId="4" fillId="2" borderId="1" xfId="2" applyNumberFormat="1" applyFont="1" applyFill="1" applyBorder="1" applyAlignment="1">
      <alignment horizontal="center" vertical="center"/>
    </xf>
    <xf numFmtId="166" fontId="4" fillId="2" borderId="1" xfId="3" applyNumberFormat="1" applyFont="1" applyFill="1" applyBorder="1"/>
    <xf numFmtId="166" fontId="4" fillId="3" borderId="1" xfId="3" applyNumberFormat="1" applyFont="1" applyFill="1" applyBorder="1"/>
    <xf numFmtId="166" fontId="3" fillId="0" borderId="14" xfId="3" applyNumberFormat="1" applyFont="1" applyBorder="1"/>
    <xf numFmtId="166" fontId="3" fillId="0" borderId="0" xfId="3" applyNumberFormat="1" applyFont="1" applyBorder="1"/>
    <xf numFmtId="166" fontId="3" fillId="0" borderId="15" xfId="3" applyNumberFormat="1" applyFont="1" applyBorder="1"/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41" fontId="3" fillId="0" borderId="1" xfId="2" applyNumberFormat="1" applyFont="1" applyBorder="1" applyAlignment="1">
      <alignment horizontal="center" vertical="center"/>
    </xf>
    <xf numFmtId="0" fontId="4" fillId="5" borderId="4" xfId="2" applyFont="1" applyFill="1" applyBorder="1" applyAlignment="1">
      <alignment horizontal="center" vertical="center" wrapText="1"/>
    </xf>
    <xf numFmtId="0" fontId="4" fillId="5" borderId="5" xfId="2" applyFont="1" applyFill="1" applyBorder="1" applyAlignment="1">
      <alignment horizontal="center" vertical="center" wrapText="1"/>
    </xf>
    <xf numFmtId="0" fontId="3" fillId="4" borderId="6" xfId="2" applyFont="1" applyFill="1" applyBorder="1" applyAlignment="1">
      <alignment horizontal="center" vertical="center"/>
    </xf>
    <xf numFmtId="0" fontId="3" fillId="4" borderId="0" xfId="2" applyFont="1" applyFill="1" applyAlignment="1">
      <alignment horizontal="center" vertical="center"/>
    </xf>
    <xf numFmtId="0" fontId="3" fillId="4" borderId="7" xfId="2" applyFont="1" applyFill="1" applyBorder="1" applyAlignment="1">
      <alignment horizontal="center" vertical="center"/>
    </xf>
    <xf numFmtId="0" fontId="3" fillId="4" borderId="8" xfId="2" applyFont="1" applyFill="1" applyBorder="1" applyAlignment="1">
      <alignment horizontal="center" vertical="center"/>
    </xf>
    <xf numFmtId="0" fontId="4" fillId="5" borderId="1" xfId="2" applyFont="1" applyFill="1" applyBorder="1" applyAlignment="1">
      <alignment horizontal="center" vertical="center"/>
    </xf>
    <xf numFmtId="0" fontId="6" fillId="0" borderId="4" xfId="2" applyFont="1" applyBorder="1"/>
    <xf numFmtId="1" fontId="4" fillId="5" borderId="1" xfId="2" applyNumberFormat="1" applyFont="1" applyFill="1" applyBorder="1" applyAlignment="1">
      <alignment horizontal="center" vertical="center"/>
    </xf>
    <xf numFmtId="1" fontId="4" fillId="5" borderId="4" xfId="2" applyNumberFormat="1" applyFont="1" applyFill="1" applyBorder="1" applyAlignment="1">
      <alignment horizontal="center" vertical="center"/>
    </xf>
    <xf numFmtId="1" fontId="4" fillId="5" borderId="5" xfId="2" applyNumberFormat="1" applyFont="1" applyFill="1" applyBorder="1" applyAlignment="1">
      <alignment horizontal="center" vertical="center"/>
    </xf>
    <xf numFmtId="0" fontId="4" fillId="5" borderId="12" xfId="2" applyFont="1" applyFill="1" applyBorder="1" applyAlignment="1">
      <alignment horizontal="center" vertical="center" wrapText="1"/>
    </xf>
    <xf numFmtId="0" fontId="4" fillId="5" borderId="13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166" fontId="3" fillId="2" borderId="1" xfId="3" applyNumberFormat="1" applyFont="1" applyFill="1" applyBorder="1" applyAlignment="1">
      <alignment horizontal="center" vertical="center"/>
    </xf>
    <xf numFmtId="166" fontId="3" fillId="3" borderId="13" xfId="3" applyNumberFormat="1" applyFont="1" applyFill="1" applyBorder="1" applyAlignment="1">
      <alignment horizontal="center" vertical="center"/>
    </xf>
    <xf numFmtId="166" fontId="3" fillId="3" borderId="15" xfId="3" applyNumberFormat="1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4" fillId="6" borderId="4" xfId="2" applyFont="1" applyFill="1" applyBorder="1" applyAlignment="1">
      <alignment horizontal="center" vertical="center"/>
    </xf>
    <xf numFmtId="0" fontId="4" fillId="6" borderId="3" xfId="2" applyFont="1" applyFill="1" applyBorder="1" applyAlignment="1">
      <alignment horizontal="center" vertical="center"/>
    </xf>
    <xf numFmtId="166" fontId="4" fillId="6" borderId="2" xfId="3" applyNumberFormat="1" applyFont="1" applyFill="1" applyBorder="1" applyAlignment="1">
      <alignment horizontal="center"/>
    </xf>
    <xf numFmtId="166" fontId="4" fillId="6" borderId="25" xfId="3" applyNumberFormat="1" applyFont="1" applyFill="1" applyBorder="1" applyAlignment="1">
      <alignment horizontal="center"/>
    </xf>
    <xf numFmtId="169" fontId="6" fillId="2" borderId="1" xfId="2" applyNumberFormat="1" applyFont="1" applyFill="1" applyBorder="1" applyAlignment="1">
      <alignment horizontal="center"/>
    </xf>
  </cellXfs>
  <cellStyles count="5">
    <cellStyle name="Comma [0] 2" xfId="4" xr:uid="{EC4D2F89-133C-4AE7-8150-8EFD546521CE}"/>
    <cellStyle name="Comma 2" xfId="3" xr:uid="{31EF258E-7BCE-418F-B442-894C3AAD2375}"/>
    <cellStyle name="Normal" xfId="0" builtinId="0"/>
    <cellStyle name="Normal 2" xfId="1" xr:uid="{06BEB893-B736-4923-9A44-83F6B7CE1377}"/>
    <cellStyle name="Normal 2 2" xfId="2" xr:uid="{FC56ABBA-1922-4B0C-BEBD-5801F8C809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onoco-my.sharepoint.com/personal/mulyanto_djuhardi_sonoco_com/Documents/Documents/Trucking%20Cs%20n%20Whouse/WHouse02B.xlsx" TargetMode="External"/><Relationship Id="rId1" Type="http://schemas.openxmlformats.org/officeDocument/2006/relationships/externalLinkPath" Target="https://sonoco-my.sharepoint.com/personal/mulyanto_djuhardi_sonoco_com/Documents/Documents/Trucking%20Cs%20n%20Whouse/WHouse02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curity"/>
      <sheetName val="No Truck"/>
      <sheetName val="WHouse"/>
      <sheetName val="MonitorWhs"/>
      <sheetName val="CS"/>
      <sheetName val="Data"/>
      <sheetName val="Weight tolerance"/>
      <sheetName val="CS Form"/>
    </sheetNames>
    <sheetDataSet>
      <sheetData sheetId="0"/>
      <sheetData sheetId="1"/>
      <sheetData sheetId="2">
        <row r="4">
          <cell r="B4">
            <v>1</v>
          </cell>
          <cell r="C4" t="str">
            <v>45882-1</v>
          </cell>
          <cell r="D4" t="str">
            <v>B 2002 RI</v>
          </cell>
          <cell r="E4">
            <v>90</v>
          </cell>
          <cell r="F4">
            <v>2641.5</v>
          </cell>
          <cell r="G4" t="str">
            <v>Finish</v>
          </cell>
        </row>
        <row r="5">
          <cell r="B5">
            <v>2</v>
          </cell>
          <cell r="C5" t="str">
            <v>45882-2</v>
          </cell>
          <cell r="D5" t="str">
            <v>B 3003 RI</v>
          </cell>
          <cell r="E5">
            <v>77</v>
          </cell>
          <cell r="F5">
            <v>1987.7840000000001</v>
          </cell>
          <cell r="G5" t="str">
            <v>Finish</v>
          </cell>
        </row>
        <row r="6">
          <cell r="B6">
            <v>3</v>
          </cell>
          <cell r="C6" t="str">
            <v>45882-3</v>
          </cell>
          <cell r="D6" t="str">
            <v>B 1001 RI</v>
          </cell>
          <cell r="E6">
            <v>81</v>
          </cell>
          <cell r="F6">
            <v>2767.2719999999999</v>
          </cell>
          <cell r="G6" t="str">
            <v>Finish</v>
          </cell>
        </row>
        <row r="7">
          <cell r="B7">
            <v>4</v>
          </cell>
          <cell r="C7" t="str">
            <v>45882-4</v>
          </cell>
          <cell r="D7">
            <v>0</v>
          </cell>
          <cell r="E7" t="str">
            <v/>
          </cell>
          <cell r="F7" t="str">
            <v/>
          </cell>
        </row>
        <row r="8">
          <cell r="B8">
            <v>5</v>
          </cell>
          <cell r="C8" t="str">
            <v>45882-5</v>
          </cell>
          <cell r="D8">
            <v>0</v>
          </cell>
          <cell r="E8" t="str">
            <v/>
          </cell>
          <cell r="F8" t="str">
            <v/>
          </cell>
        </row>
        <row r="9">
          <cell r="B9">
            <v>6</v>
          </cell>
          <cell r="C9" t="str">
            <v>45882-6</v>
          </cell>
          <cell r="D9">
            <v>0</v>
          </cell>
          <cell r="E9" t="str">
            <v/>
          </cell>
          <cell r="F9" t="str">
            <v/>
          </cell>
        </row>
        <row r="10">
          <cell r="B10">
            <v>7</v>
          </cell>
          <cell r="C10" t="str">
            <v>45882-7</v>
          </cell>
          <cell r="D10">
            <v>0</v>
          </cell>
          <cell r="E10" t="str">
            <v/>
          </cell>
          <cell r="F10" t="str">
            <v/>
          </cell>
        </row>
        <row r="11">
          <cell r="B11">
            <v>8</v>
          </cell>
          <cell r="C11" t="str">
            <v>45882-8</v>
          </cell>
          <cell r="D11">
            <v>0</v>
          </cell>
          <cell r="E11" t="str">
            <v/>
          </cell>
          <cell r="F11" t="str">
            <v/>
          </cell>
        </row>
        <row r="12">
          <cell r="B12">
            <v>9</v>
          </cell>
          <cell r="C12" t="str">
            <v>45882-9</v>
          </cell>
          <cell r="D12">
            <v>0</v>
          </cell>
          <cell r="E12" t="str">
            <v/>
          </cell>
          <cell r="F12" t="str">
            <v/>
          </cell>
        </row>
        <row r="13">
          <cell r="B13">
            <v>10</v>
          </cell>
          <cell r="C13" t="str">
            <v>45882-10</v>
          </cell>
          <cell r="D13">
            <v>0</v>
          </cell>
          <cell r="E13" t="str">
            <v/>
          </cell>
          <cell r="F13" t="str">
            <v/>
          </cell>
        </row>
        <row r="14">
          <cell r="B14">
            <v>11</v>
          </cell>
          <cell r="C14" t="str">
            <v>45882-11</v>
          </cell>
          <cell r="D14">
            <v>0</v>
          </cell>
          <cell r="E14" t="str">
            <v/>
          </cell>
          <cell r="F14" t="str">
            <v/>
          </cell>
        </row>
        <row r="15">
          <cell r="B15">
            <v>12</v>
          </cell>
          <cell r="C15" t="str">
            <v>45882-12</v>
          </cell>
          <cell r="D15">
            <v>0</v>
          </cell>
          <cell r="E15" t="str">
            <v/>
          </cell>
          <cell r="F15" t="str">
            <v/>
          </cell>
        </row>
        <row r="16">
          <cell r="B16">
            <v>13</v>
          </cell>
          <cell r="C16" t="str">
            <v>45882-13</v>
          </cell>
          <cell r="D16">
            <v>0</v>
          </cell>
          <cell r="E16" t="str">
            <v/>
          </cell>
          <cell r="F16" t="str">
            <v/>
          </cell>
        </row>
        <row r="17">
          <cell r="B17">
            <v>14</v>
          </cell>
          <cell r="C17" t="str">
            <v>45882-14</v>
          </cell>
          <cell r="D17">
            <v>0</v>
          </cell>
          <cell r="E17" t="str">
            <v/>
          </cell>
          <cell r="F17" t="str">
            <v/>
          </cell>
        </row>
        <row r="18">
          <cell r="B18">
            <v>15</v>
          </cell>
          <cell r="C18" t="str">
            <v>45882-15</v>
          </cell>
          <cell r="D18">
            <v>0</v>
          </cell>
          <cell r="E18" t="str">
            <v/>
          </cell>
          <cell r="F18" t="str">
            <v/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BAB6-512D-4F49-9781-9568EAD4094F}">
  <sheetPr>
    <tabColor rgb="FFFF0000"/>
  </sheetPr>
  <dimension ref="A1:V37"/>
  <sheetViews>
    <sheetView showGridLines="0" tabSelected="1" zoomScale="130" zoomScaleNormal="130" workbookViewId="0">
      <selection activeCell="A3" sqref="A3:M3"/>
    </sheetView>
  </sheetViews>
  <sheetFormatPr defaultColWidth="9.1796875" defaultRowHeight="15" customHeight="1" x14ac:dyDescent="0.25"/>
  <cols>
    <col min="1" max="1" width="11.81640625" style="40" bestFit="1" customWidth="1"/>
    <col min="2" max="2" width="24.453125" style="40" customWidth="1"/>
    <col min="3" max="3" width="7.36328125" style="40" customWidth="1"/>
    <col min="4" max="4" width="10.453125" style="40" customWidth="1"/>
    <col min="5" max="5" width="23.81640625" style="40" bestFit="1" customWidth="1"/>
    <col min="6" max="6" width="5.453125" style="40" customWidth="1"/>
    <col min="7" max="7" width="12.1796875" style="40" customWidth="1"/>
    <col min="8" max="8" width="14.54296875" style="40" customWidth="1"/>
    <col min="9" max="9" width="9.1796875" style="40" customWidth="1"/>
    <col min="10" max="10" width="11.54296875" style="40" bestFit="1" customWidth="1"/>
    <col min="11" max="11" width="8.1796875" style="40" customWidth="1"/>
    <col min="12" max="13" width="9.81640625" style="40" customWidth="1"/>
    <col min="14" max="14" width="7.08984375" style="39" customWidth="1"/>
    <col min="15" max="17" width="9.1796875" style="40" customWidth="1"/>
    <col min="18" max="20" width="9.1796875" style="41" customWidth="1"/>
    <col min="21" max="21" width="10.36328125" style="41" customWidth="1"/>
    <col min="22" max="22" width="10.08984375" style="41" customWidth="1"/>
    <col min="23" max="27" width="9.1796875" style="40" customWidth="1"/>
    <col min="28" max="16384" width="9.1796875" style="40"/>
  </cols>
  <sheetData>
    <row r="1" spans="1:22" ht="15" customHeight="1" x14ac:dyDescent="0.25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22" ht="15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U2" s="41">
        <v>22</v>
      </c>
      <c r="V2" s="41">
        <v>23</v>
      </c>
    </row>
    <row r="3" spans="1:22" ht="15" customHeight="1" x14ac:dyDescent="0.25">
      <c r="A3" s="86">
        <v>46332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O3" s="40" t="s">
        <v>40</v>
      </c>
      <c r="P3" s="40" t="s">
        <v>40</v>
      </c>
      <c r="Q3" s="40" t="s">
        <v>40</v>
      </c>
      <c r="R3" s="40" t="s">
        <v>40</v>
      </c>
      <c r="S3" s="40" t="s">
        <v>40</v>
      </c>
      <c r="T3" s="40"/>
      <c r="U3" s="40" t="s">
        <v>40</v>
      </c>
      <c r="V3" s="40" t="s">
        <v>40</v>
      </c>
    </row>
    <row r="4" spans="1:22" ht="15" customHeight="1" x14ac:dyDescent="0.25">
      <c r="A4" s="70" t="s">
        <v>5</v>
      </c>
      <c r="B4" s="72" t="s">
        <v>6</v>
      </c>
      <c r="C4" s="73" t="s">
        <v>41</v>
      </c>
      <c r="D4" s="73" t="s">
        <v>7</v>
      </c>
      <c r="E4" s="75" t="s">
        <v>8</v>
      </c>
      <c r="F4" s="76"/>
      <c r="G4" s="77" t="s">
        <v>9</v>
      </c>
      <c r="H4" s="77" t="s">
        <v>10</v>
      </c>
      <c r="I4" s="77" t="s">
        <v>33</v>
      </c>
      <c r="J4" s="64" t="s">
        <v>11</v>
      </c>
      <c r="K4" s="77" t="s">
        <v>32</v>
      </c>
      <c r="L4" s="77" t="s">
        <v>12</v>
      </c>
      <c r="M4" s="64" t="s">
        <v>13</v>
      </c>
      <c r="N4" s="82" t="s">
        <v>12</v>
      </c>
      <c r="O4" s="64" t="s">
        <v>38</v>
      </c>
      <c r="P4" s="64" t="s">
        <v>39</v>
      </c>
      <c r="Q4" s="64" t="s">
        <v>37</v>
      </c>
      <c r="R4" s="84" t="s">
        <v>4</v>
      </c>
      <c r="S4" s="85"/>
      <c r="T4" s="78" t="s">
        <v>3</v>
      </c>
      <c r="U4" s="78"/>
      <c r="V4" s="79" t="s">
        <v>2</v>
      </c>
    </row>
    <row r="5" spans="1:22" ht="15" customHeight="1" thickBot="1" x14ac:dyDescent="0.3">
      <c r="A5" s="71"/>
      <c r="B5" s="71"/>
      <c r="C5" s="74"/>
      <c r="D5" s="74"/>
      <c r="E5" s="1" t="s">
        <v>34</v>
      </c>
      <c r="F5" s="2" t="s">
        <v>35</v>
      </c>
      <c r="G5" s="71"/>
      <c r="H5" s="71"/>
      <c r="I5" s="71"/>
      <c r="J5" s="65"/>
      <c r="K5" s="71"/>
      <c r="L5" s="71"/>
      <c r="M5" s="65"/>
      <c r="N5" s="83"/>
      <c r="O5" s="65"/>
      <c r="P5" s="65"/>
      <c r="Q5" s="65"/>
      <c r="R5" s="3" t="s">
        <v>1</v>
      </c>
      <c r="S5" s="16" t="s">
        <v>0</v>
      </c>
      <c r="T5" s="42" t="s">
        <v>1</v>
      </c>
      <c r="U5" s="42" t="s">
        <v>0</v>
      </c>
      <c r="V5" s="80"/>
    </row>
    <row r="6" spans="1:22" ht="15" customHeight="1" thickBot="1" x14ac:dyDescent="0.3">
      <c r="A6" s="18">
        <v>1.1000000000000001</v>
      </c>
      <c r="B6" s="5" t="s">
        <v>24</v>
      </c>
      <c r="C6" s="5" t="s">
        <v>43</v>
      </c>
      <c r="D6" s="30">
        <v>1</v>
      </c>
      <c r="E6" s="17" t="s">
        <v>36</v>
      </c>
      <c r="F6" s="17">
        <v>40</v>
      </c>
      <c r="G6" s="43" t="s">
        <v>23</v>
      </c>
      <c r="H6" s="43" t="s">
        <v>19</v>
      </c>
      <c r="I6" s="31">
        <v>980</v>
      </c>
      <c r="J6" s="19">
        <f t="shared" ref="J6:J18" si="0">I6*K6</f>
        <v>5880</v>
      </c>
      <c r="K6" s="5">
        <v>6</v>
      </c>
      <c r="L6" s="20" t="s">
        <v>16</v>
      </c>
      <c r="M6" s="21" t="s">
        <v>17</v>
      </c>
      <c r="O6" s="7">
        <f>(F6*J6)/1000</f>
        <v>235.2</v>
      </c>
      <c r="P6" s="7">
        <f>K6</f>
        <v>6</v>
      </c>
      <c r="Q6" s="63">
        <f>SUM(O6:P12)</f>
        <v>2261.6600000000003</v>
      </c>
      <c r="R6" s="44"/>
      <c r="S6" s="45"/>
      <c r="T6" s="45"/>
      <c r="U6" s="45"/>
      <c r="V6" s="46"/>
    </row>
    <row r="7" spans="1:22" ht="15" customHeight="1" thickBot="1" x14ac:dyDescent="0.3">
      <c r="A7" s="18">
        <v>1.1000000000000001</v>
      </c>
      <c r="B7" s="5" t="s">
        <v>24</v>
      </c>
      <c r="C7" s="5" t="s">
        <v>43</v>
      </c>
      <c r="D7" s="30">
        <v>1</v>
      </c>
      <c r="E7" s="17" t="s">
        <v>36</v>
      </c>
      <c r="F7" s="17">
        <v>40</v>
      </c>
      <c r="G7" s="43" t="s">
        <v>26</v>
      </c>
      <c r="H7" s="43" t="s">
        <v>19</v>
      </c>
      <c r="I7" s="31">
        <v>980</v>
      </c>
      <c r="J7" s="22">
        <f t="shared" si="0"/>
        <v>3920</v>
      </c>
      <c r="K7" s="8">
        <v>4</v>
      </c>
      <c r="L7" s="23" t="s">
        <v>16</v>
      </c>
      <c r="M7" s="24" t="s">
        <v>17</v>
      </c>
      <c r="O7" s="7">
        <f t="shared" ref="O7:O18" si="1">(F7*J7)/1000</f>
        <v>156.80000000000001</v>
      </c>
      <c r="P7" s="7">
        <f t="shared" ref="P7:P18" si="2">K7</f>
        <v>4</v>
      </c>
      <c r="Q7" s="81"/>
      <c r="R7" s="44"/>
      <c r="S7" s="45"/>
      <c r="T7" s="45"/>
      <c r="U7" s="45"/>
      <c r="V7" s="46"/>
    </row>
    <row r="8" spans="1:22" ht="15" customHeight="1" thickBot="1" x14ac:dyDescent="0.3">
      <c r="A8" s="18">
        <v>1.1000000000000001</v>
      </c>
      <c r="B8" s="5" t="s">
        <v>24</v>
      </c>
      <c r="C8" s="5" t="s">
        <v>43</v>
      </c>
      <c r="D8" s="30">
        <v>1</v>
      </c>
      <c r="E8" s="17" t="s">
        <v>36</v>
      </c>
      <c r="F8" s="17">
        <v>40</v>
      </c>
      <c r="G8" s="43" t="s">
        <v>44</v>
      </c>
      <c r="H8" s="43" t="s">
        <v>27</v>
      </c>
      <c r="I8" s="31">
        <v>980</v>
      </c>
      <c r="J8" s="22">
        <f t="shared" si="0"/>
        <v>11760</v>
      </c>
      <c r="K8" s="8">
        <v>12</v>
      </c>
      <c r="L8" s="23" t="s">
        <v>16</v>
      </c>
      <c r="M8" s="24" t="s">
        <v>17</v>
      </c>
      <c r="O8" s="7">
        <f t="shared" si="1"/>
        <v>470.4</v>
      </c>
      <c r="P8" s="7">
        <f t="shared" si="2"/>
        <v>12</v>
      </c>
      <c r="Q8" s="81"/>
      <c r="R8" s="44"/>
      <c r="S8" s="45"/>
      <c r="T8" s="45"/>
      <c r="U8" s="45"/>
      <c r="V8" s="46"/>
    </row>
    <row r="9" spans="1:22" ht="15" customHeight="1" thickBot="1" x14ac:dyDescent="0.3">
      <c r="A9" s="18">
        <v>1.1000000000000001</v>
      </c>
      <c r="B9" s="5" t="s">
        <v>24</v>
      </c>
      <c r="C9" s="5" t="s">
        <v>43</v>
      </c>
      <c r="D9" s="30">
        <v>1</v>
      </c>
      <c r="E9" s="17" t="s">
        <v>36</v>
      </c>
      <c r="F9" s="17">
        <v>40</v>
      </c>
      <c r="G9" s="43" t="s">
        <v>29</v>
      </c>
      <c r="H9" s="43" t="s">
        <v>22</v>
      </c>
      <c r="I9" s="31">
        <v>980</v>
      </c>
      <c r="J9" s="22">
        <f t="shared" si="0"/>
        <v>3920</v>
      </c>
      <c r="K9" s="8">
        <v>4</v>
      </c>
      <c r="L9" s="23" t="s">
        <v>16</v>
      </c>
      <c r="M9" s="24" t="s">
        <v>17</v>
      </c>
      <c r="O9" s="7">
        <f t="shared" si="1"/>
        <v>156.80000000000001</v>
      </c>
      <c r="P9" s="7">
        <f t="shared" si="2"/>
        <v>4</v>
      </c>
      <c r="Q9" s="81"/>
      <c r="R9" s="44"/>
      <c r="S9" s="45"/>
      <c r="T9" s="45"/>
      <c r="U9" s="45"/>
      <c r="V9" s="46"/>
    </row>
    <row r="10" spans="1:22" ht="15" customHeight="1" thickBot="1" x14ac:dyDescent="0.3">
      <c r="A10" s="18">
        <v>1.1000000000000001</v>
      </c>
      <c r="B10" s="5" t="s">
        <v>24</v>
      </c>
      <c r="C10" s="5" t="s">
        <v>43</v>
      </c>
      <c r="D10" s="30">
        <v>1</v>
      </c>
      <c r="E10" s="17" t="s">
        <v>36</v>
      </c>
      <c r="F10" s="17">
        <v>40</v>
      </c>
      <c r="G10" s="43" t="s">
        <v>23</v>
      </c>
      <c r="H10" s="43" t="s">
        <v>22</v>
      </c>
      <c r="I10" s="31">
        <v>980</v>
      </c>
      <c r="J10" s="22">
        <f t="shared" si="0"/>
        <v>1960</v>
      </c>
      <c r="K10" s="8">
        <v>2</v>
      </c>
      <c r="L10" s="25" t="s">
        <v>16</v>
      </c>
      <c r="M10" s="24" t="s">
        <v>17</v>
      </c>
      <c r="O10" s="7">
        <f t="shared" si="1"/>
        <v>78.400000000000006</v>
      </c>
      <c r="P10" s="7">
        <f t="shared" si="2"/>
        <v>2</v>
      </c>
      <c r="Q10" s="81"/>
      <c r="R10" s="44"/>
      <c r="S10" s="45"/>
      <c r="T10" s="45"/>
      <c r="U10" s="45"/>
      <c r="V10" s="46"/>
    </row>
    <row r="11" spans="1:22" ht="15" customHeight="1" thickBot="1" x14ac:dyDescent="0.3">
      <c r="A11" s="18">
        <v>1.1000000000000001</v>
      </c>
      <c r="B11" s="5" t="s">
        <v>24</v>
      </c>
      <c r="C11" s="5" t="s">
        <v>43</v>
      </c>
      <c r="D11" s="30">
        <v>1</v>
      </c>
      <c r="E11" s="17" t="s">
        <v>45</v>
      </c>
      <c r="F11" s="17">
        <v>62</v>
      </c>
      <c r="G11" s="43" t="s">
        <v>23</v>
      </c>
      <c r="H11" s="43" t="s">
        <v>46</v>
      </c>
      <c r="I11" s="32">
        <v>410</v>
      </c>
      <c r="J11" s="22">
        <f t="shared" si="0"/>
        <v>10250</v>
      </c>
      <c r="K11" s="8">
        <v>25</v>
      </c>
      <c r="L11" s="25" t="s">
        <v>16</v>
      </c>
      <c r="M11" s="24" t="s">
        <v>17</v>
      </c>
      <c r="O11" s="7">
        <f t="shared" si="1"/>
        <v>635.5</v>
      </c>
      <c r="P11" s="7">
        <f t="shared" si="2"/>
        <v>25</v>
      </c>
      <c r="Q11" s="81"/>
      <c r="R11" s="44"/>
      <c r="S11" s="45"/>
      <c r="T11" s="45"/>
      <c r="U11" s="45"/>
      <c r="V11" s="46"/>
    </row>
    <row r="12" spans="1:22" ht="15" customHeight="1" thickBot="1" x14ac:dyDescent="0.3">
      <c r="A12" s="18">
        <v>1.1000000000000001</v>
      </c>
      <c r="B12" s="5" t="s">
        <v>24</v>
      </c>
      <c r="C12" s="5" t="s">
        <v>43</v>
      </c>
      <c r="D12" s="30">
        <v>1</v>
      </c>
      <c r="E12" s="17" t="s">
        <v>45</v>
      </c>
      <c r="F12" s="17">
        <v>62</v>
      </c>
      <c r="G12" s="43" t="s">
        <v>29</v>
      </c>
      <c r="H12" s="43" t="s">
        <v>47</v>
      </c>
      <c r="I12" s="32">
        <v>410</v>
      </c>
      <c r="J12" s="26">
        <f t="shared" si="0"/>
        <v>7380</v>
      </c>
      <c r="K12" s="27">
        <v>18</v>
      </c>
      <c r="L12" s="28" t="s">
        <v>16</v>
      </c>
      <c r="M12" s="29" t="s">
        <v>17</v>
      </c>
      <c r="O12" s="7">
        <f t="shared" si="1"/>
        <v>457.56</v>
      </c>
      <c r="P12" s="7">
        <f t="shared" si="2"/>
        <v>18</v>
      </c>
      <c r="Q12" s="81"/>
      <c r="R12" s="44"/>
      <c r="S12" s="45"/>
      <c r="T12" s="45"/>
      <c r="U12" s="45"/>
      <c r="V12" s="46"/>
    </row>
    <row r="13" spans="1:22" ht="15" customHeight="1" thickBot="1" x14ac:dyDescent="0.3">
      <c r="A13" s="15">
        <v>1</v>
      </c>
      <c r="B13" s="47"/>
      <c r="C13" s="48"/>
      <c r="D13" s="11"/>
      <c r="E13" s="11"/>
      <c r="F13" s="49"/>
      <c r="G13" s="50"/>
      <c r="H13" s="50"/>
      <c r="I13" s="51"/>
      <c r="J13" s="13"/>
      <c r="K13" s="11">
        <f>SUM(K6:K12)</f>
        <v>71</v>
      </c>
      <c r="L13" s="12"/>
      <c r="M13" s="14"/>
      <c r="N13" s="52" t="str">
        <f>IFERROR(VLOOKUP(A13,[1]WHouse!$B$4:$G$18,6,0),"")</f>
        <v>Finish</v>
      </c>
      <c r="O13" s="53">
        <f>SUM(O6:O12)</f>
        <v>2190.6600000000003</v>
      </c>
      <c r="P13" s="53">
        <f>SUM(P6:P12)</f>
        <v>71</v>
      </c>
      <c r="Q13" s="54">
        <f>SUM(O13:P13)</f>
        <v>2261.6600000000003</v>
      </c>
      <c r="R13" s="55">
        <f>Q13-(Q13*0.04)</f>
        <v>2171.1936000000005</v>
      </c>
      <c r="S13" s="55">
        <f>Q13+(Q13*0.04)</f>
        <v>2352.1264000000001</v>
      </c>
      <c r="T13" s="55">
        <f>R13-(0.06*R13)</f>
        <v>2040.9219840000005</v>
      </c>
      <c r="U13" s="55">
        <f>S13+(0.06*S13)</f>
        <v>2493.2539839999999</v>
      </c>
      <c r="V13" s="56">
        <f>S13+(0.1*S13)</f>
        <v>2587.3390400000003</v>
      </c>
    </row>
    <row r="14" spans="1:22" ht="15" customHeight="1" thickBot="1" x14ac:dyDescent="0.3">
      <c r="A14" s="4">
        <v>2.1</v>
      </c>
      <c r="B14" s="5" t="s">
        <v>24</v>
      </c>
      <c r="C14" s="5" t="s">
        <v>43</v>
      </c>
      <c r="D14" s="30">
        <v>1</v>
      </c>
      <c r="E14" s="17" t="s">
        <v>36</v>
      </c>
      <c r="F14" s="17">
        <v>42</v>
      </c>
      <c r="G14" s="43" t="s">
        <v>48</v>
      </c>
      <c r="H14" s="43" t="s">
        <v>49</v>
      </c>
      <c r="I14" s="33">
        <v>882</v>
      </c>
      <c r="J14" s="6">
        <f t="shared" si="0"/>
        <v>3528</v>
      </c>
      <c r="K14" s="5">
        <v>4</v>
      </c>
      <c r="L14" s="28" t="s">
        <v>16</v>
      </c>
      <c r="M14" s="29" t="s">
        <v>17</v>
      </c>
      <c r="O14" s="7">
        <f t="shared" si="1"/>
        <v>148.17599999999999</v>
      </c>
      <c r="P14" s="7">
        <f t="shared" si="2"/>
        <v>4</v>
      </c>
      <c r="Q14" s="63">
        <f>SUM(O14:P18)</f>
        <v>2320.7960000000003</v>
      </c>
      <c r="R14" s="57"/>
      <c r="S14" s="58"/>
      <c r="T14" s="58"/>
      <c r="U14" s="58"/>
      <c r="V14" s="59"/>
    </row>
    <row r="15" spans="1:22" ht="15" customHeight="1" thickBot="1" x14ac:dyDescent="0.3">
      <c r="A15" s="4">
        <v>2.1</v>
      </c>
      <c r="B15" s="5" t="s">
        <v>24</v>
      </c>
      <c r="C15" s="5" t="s">
        <v>43</v>
      </c>
      <c r="D15" s="30">
        <v>1</v>
      </c>
      <c r="E15" s="17" t="s">
        <v>36</v>
      </c>
      <c r="F15" s="17">
        <v>40</v>
      </c>
      <c r="G15" s="43" t="s">
        <v>50</v>
      </c>
      <c r="H15" s="43" t="s">
        <v>51</v>
      </c>
      <c r="I15" s="34">
        <v>980</v>
      </c>
      <c r="J15" s="9">
        <f t="shared" si="0"/>
        <v>8820</v>
      </c>
      <c r="K15" s="8">
        <v>9</v>
      </c>
      <c r="L15" s="28" t="s">
        <v>16</v>
      </c>
      <c r="M15" s="29" t="s">
        <v>17</v>
      </c>
      <c r="O15" s="7">
        <f t="shared" si="1"/>
        <v>352.8</v>
      </c>
      <c r="P15" s="7">
        <f t="shared" si="2"/>
        <v>9</v>
      </c>
      <c r="Q15" s="63"/>
      <c r="R15" s="57"/>
      <c r="S15" s="58"/>
      <c r="T15" s="58"/>
      <c r="U15" s="58"/>
      <c r="V15" s="59"/>
    </row>
    <row r="16" spans="1:22" ht="15" customHeight="1" thickBot="1" x14ac:dyDescent="0.3">
      <c r="A16" s="4">
        <v>2.1</v>
      </c>
      <c r="B16" s="5" t="s">
        <v>24</v>
      </c>
      <c r="C16" s="5" t="s">
        <v>43</v>
      </c>
      <c r="D16" s="30">
        <v>1</v>
      </c>
      <c r="E16" s="17" t="s">
        <v>36</v>
      </c>
      <c r="F16" s="17">
        <v>40</v>
      </c>
      <c r="G16" s="43" t="s">
        <v>25</v>
      </c>
      <c r="H16" s="43" t="s">
        <v>52</v>
      </c>
      <c r="I16" s="34">
        <v>980</v>
      </c>
      <c r="J16" s="9">
        <f t="shared" si="0"/>
        <v>5880</v>
      </c>
      <c r="K16" s="8">
        <v>6</v>
      </c>
      <c r="L16" s="28" t="s">
        <v>16</v>
      </c>
      <c r="M16" s="29" t="s">
        <v>17</v>
      </c>
      <c r="O16" s="7">
        <f t="shared" si="1"/>
        <v>235.2</v>
      </c>
      <c r="P16" s="7">
        <f t="shared" si="2"/>
        <v>6</v>
      </c>
      <c r="Q16" s="63"/>
      <c r="R16" s="57"/>
      <c r="S16" s="58"/>
      <c r="T16" s="58"/>
      <c r="U16" s="58"/>
      <c r="V16" s="59"/>
    </row>
    <row r="17" spans="1:22" ht="15" customHeight="1" thickBot="1" x14ac:dyDescent="0.3">
      <c r="A17" s="4">
        <v>2.1</v>
      </c>
      <c r="B17" s="5" t="s">
        <v>24</v>
      </c>
      <c r="C17" s="5" t="s">
        <v>43</v>
      </c>
      <c r="D17" s="30">
        <v>1</v>
      </c>
      <c r="E17" s="17" t="s">
        <v>36</v>
      </c>
      <c r="F17" s="17">
        <v>40</v>
      </c>
      <c r="G17" s="43" t="s">
        <v>18</v>
      </c>
      <c r="H17" s="43" t="s">
        <v>52</v>
      </c>
      <c r="I17" s="34">
        <v>980</v>
      </c>
      <c r="J17" s="9">
        <f t="shared" si="0"/>
        <v>11760</v>
      </c>
      <c r="K17" s="8">
        <v>12</v>
      </c>
      <c r="L17" s="28" t="s">
        <v>16</v>
      </c>
      <c r="M17" s="29" t="s">
        <v>17</v>
      </c>
      <c r="O17" s="7">
        <f t="shared" si="1"/>
        <v>470.4</v>
      </c>
      <c r="P17" s="7">
        <f t="shared" si="2"/>
        <v>12</v>
      </c>
      <c r="Q17" s="63"/>
      <c r="R17" s="57"/>
      <c r="S17" s="58"/>
      <c r="T17" s="58"/>
      <c r="U17" s="58"/>
      <c r="V17" s="59"/>
    </row>
    <row r="18" spans="1:22" ht="15" customHeight="1" thickBot="1" x14ac:dyDescent="0.3">
      <c r="A18" s="4">
        <v>2.1</v>
      </c>
      <c r="B18" s="5" t="s">
        <v>24</v>
      </c>
      <c r="C18" s="5" t="s">
        <v>43</v>
      </c>
      <c r="D18" s="30">
        <v>1</v>
      </c>
      <c r="E18" s="17" t="s">
        <v>45</v>
      </c>
      <c r="F18" s="17">
        <v>62</v>
      </c>
      <c r="G18" s="43" t="s">
        <v>29</v>
      </c>
      <c r="H18" s="43" t="s">
        <v>47</v>
      </c>
      <c r="I18" s="34">
        <v>410</v>
      </c>
      <c r="J18" s="9">
        <f t="shared" si="0"/>
        <v>16810</v>
      </c>
      <c r="K18" s="8">
        <v>41</v>
      </c>
      <c r="L18" s="28" t="s">
        <v>16</v>
      </c>
      <c r="M18" s="29" t="s">
        <v>17</v>
      </c>
      <c r="O18" s="7">
        <f t="shared" si="1"/>
        <v>1042.22</v>
      </c>
      <c r="P18" s="7">
        <f t="shared" si="2"/>
        <v>41</v>
      </c>
      <c r="Q18" s="63"/>
      <c r="R18" s="57"/>
      <c r="S18" s="58"/>
      <c r="T18" s="58"/>
      <c r="U18" s="58"/>
      <c r="V18" s="59"/>
    </row>
    <row r="19" spans="1:22" ht="15" customHeight="1" thickBot="1" x14ac:dyDescent="0.3">
      <c r="A19" s="10">
        <v>2</v>
      </c>
      <c r="B19" s="11"/>
      <c r="C19" s="11"/>
      <c r="D19" s="11"/>
      <c r="E19" s="11"/>
      <c r="F19" s="11"/>
      <c r="G19" s="11"/>
      <c r="H19" s="11"/>
      <c r="I19" s="13"/>
      <c r="J19" s="13"/>
      <c r="K19" s="11">
        <f>SUM(K14:K18)</f>
        <v>72</v>
      </c>
      <c r="L19" s="12"/>
      <c r="M19" s="14"/>
      <c r="N19" s="52" t="str">
        <f>IFERROR(VLOOKUP(A19,[1]WHouse!$B$4:$G$18,6,0),"")</f>
        <v>Finish</v>
      </c>
      <c r="O19" s="53">
        <f>SUM(O14:O18)</f>
        <v>2248.7960000000003</v>
      </c>
      <c r="P19" s="53">
        <f>SUM(P14:P18)</f>
        <v>72</v>
      </c>
      <c r="Q19" s="54">
        <f>SUM(O19:P19)</f>
        <v>2320.7960000000003</v>
      </c>
      <c r="R19" s="55">
        <f>Q19-(Q19*0.04)</f>
        <v>2227.9641600000004</v>
      </c>
      <c r="S19" s="55">
        <f>Q19+(Q19*0.04)</f>
        <v>2413.6278400000001</v>
      </c>
      <c r="T19" s="55">
        <f>R19-(0.06*R19)</f>
        <v>2094.2863104000003</v>
      </c>
      <c r="U19" s="55">
        <f>S19+(0.06*S19)</f>
        <v>2558.4455103999999</v>
      </c>
      <c r="V19" s="56">
        <f>S19+(0.1*S19)</f>
        <v>2654.990624</v>
      </c>
    </row>
    <row r="20" spans="1:22" ht="15" customHeight="1" thickBot="1" x14ac:dyDescent="0.3">
      <c r="A20" s="4">
        <v>3.1</v>
      </c>
      <c r="B20" s="60" t="s">
        <v>53</v>
      </c>
      <c r="C20" s="36" t="s">
        <v>42</v>
      </c>
      <c r="D20" s="37">
        <v>1</v>
      </c>
      <c r="E20" s="38" t="s">
        <v>36</v>
      </c>
      <c r="F20" s="38">
        <v>38</v>
      </c>
      <c r="G20" s="61" t="s">
        <v>14</v>
      </c>
      <c r="H20" s="61" t="s">
        <v>15</v>
      </c>
      <c r="I20" s="33">
        <v>1029</v>
      </c>
      <c r="J20" s="6">
        <f t="shared" ref="J20:J23" si="3">I20*K20</f>
        <v>25725</v>
      </c>
      <c r="K20" s="5">
        <v>25</v>
      </c>
      <c r="L20" s="28" t="s">
        <v>16</v>
      </c>
      <c r="M20" s="29" t="s">
        <v>17</v>
      </c>
      <c r="O20" s="7">
        <f t="shared" ref="O20:O23" si="4">(F20*J20)/1000</f>
        <v>977.55</v>
      </c>
      <c r="P20" s="7">
        <f t="shared" ref="P20:P23" si="5">K20</f>
        <v>25</v>
      </c>
      <c r="Q20" s="63">
        <f>SUM(O20:P23)</f>
        <v>2276.5500000000002</v>
      </c>
      <c r="R20" s="57"/>
      <c r="S20" s="58"/>
      <c r="T20" s="58"/>
      <c r="U20" s="58"/>
      <c r="V20" s="59"/>
    </row>
    <row r="21" spans="1:22" ht="15" customHeight="1" thickBot="1" x14ac:dyDescent="0.3">
      <c r="A21" s="35">
        <v>3.2</v>
      </c>
      <c r="B21" s="62" t="s">
        <v>54</v>
      </c>
      <c r="C21" s="17" t="s">
        <v>43</v>
      </c>
      <c r="D21" s="17">
        <v>2</v>
      </c>
      <c r="E21" s="17" t="s">
        <v>45</v>
      </c>
      <c r="F21" s="17">
        <v>62</v>
      </c>
      <c r="G21" s="62" t="s">
        <v>31</v>
      </c>
      <c r="H21" s="62" t="s">
        <v>22</v>
      </c>
      <c r="I21" s="34">
        <v>380</v>
      </c>
      <c r="J21" s="9">
        <f t="shared" si="3"/>
        <v>7600</v>
      </c>
      <c r="K21" s="8">
        <v>20</v>
      </c>
      <c r="L21" s="28" t="s">
        <v>16</v>
      </c>
      <c r="M21" s="29" t="s">
        <v>17</v>
      </c>
      <c r="O21" s="7">
        <f t="shared" si="4"/>
        <v>471.2</v>
      </c>
      <c r="P21" s="7">
        <f t="shared" si="5"/>
        <v>20</v>
      </c>
      <c r="Q21" s="63"/>
      <c r="R21" s="57"/>
      <c r="S21" s="58"/>
      <c r="T21" s="58"/>
      <c r="U21" s="58"/>
      <c r="V21" s="59"/>
    </row>
    <row r="22" spans="1:22" ht="15" customHeight="1" thickBot="1" x14ac:dyDescent="0.3">
      <c r="A22" s="35">
        <v>3.2</v>
      </c>
      <c r="B22" s="62" t="s">
        <v>54</v>
      </c>
      <c r="C22" s="17" t="s">
        <v>43</v>
      </c>
      <c r="D22" s="17">
        <v>2</v>
      </c>
      <c r="E22" s="17" t="s">
        <v>45</v>
      </c>
      <c r="F22" s="17">
        <v>62</v>
      </c>
      <c r="G22" s="62" t="s">
        <v>21</v>
      </c>
      <c r="H22" s="62" t="s">
        <v>28</v>
      </c>
      <c r="I22" s="34">
        <v>380</v>
      </c>
      <c r="J22" s="9">
        <f t="shared" si="3"/>
        <v>7600</v>
      </c>
      <c r="K22" s="8">
        <v>20</v>
      </c>
      <c r="L22" s="28" t="s">
        <v>16</v>
      </c>
      <c r="M22" s="29" t="s">
        <v>17</v>
      </c>
      <c r="O22" s="7">
        <f t="shared" si="4"/>
        <v>471.2</v>
      </c>
      <c r="P22" s="7">
        <f t="shared" si="5"/>
        <v>20</v>
      </c>
      <c r="Q22" s="63"/>
      <c r="R22" s="57"/>
      <c r="S22" s="58"/>
      <c r="T22" s="58"/>
      <c r="U22" s="58"/>
      <c r="V22" s="59"/>
    </row>
    <row r="23" spans="1:22" ht="15" customHeight="1" thickBot="1" x14ac:dyDescent="0.3">
      <c r="A23" s="35">
        <v>3.2</v>
      </c>
      <c r="B23" s="62" t="s">
        <v>54</v>
      </c>
      <c r="C23" s="17" t="s">
        <v>43</v>
      </c>
      <c r="D23" s="17">
        <v>2</v>
      </c>
      <c r="E23" s="17" t="s">
        <v>36</v>
      </c>
      <c r="F23" s="17">
        <v>40</v>
      </c>
      <c r="G23" s="62" t="s">
        <v>20</v>
      </c>
      <c r="H23" s="62" t="s">
        <v>30</v>
      </c>
      <c r="I23" s="34">
        <v>380</v>
      </c>
      <c r="J23" s="9">
        <f t="shared" si="3"/>
        <v>6840</v>
      </c>
      <c r="K23" s="8">
        <v>18</v>
      </c>
      <c r="L23" s="28" t="s">
        <v>16</v>
      </c>
      <c r="M23" s="29" t="s">
        <v>17</v>
      </c>
      <c r="O23" s="7">
        <f t="shared" si="4"/>
        <v>273.60000000000002</v>
      </c>
      <c r="P23" s="7">
        <f t="shared" si="5"/>
        <v>18</v>
      </c>
      <c r="Q23" s="63"/>
      <c r="R23" s="57"/>
      <c r="S23" s="58"/>
      <c r="T23" s="58"/>
      <c r="U23" s="58"/>
      <c r="V23" s="59"/>
    </row>
    <row r="24" spans="1:22" ht="15" customHeight="1" thickBot="1" x14ac:dyDescent="0.3">
      <c r="A24" s="10">
        <v>3</v>
      </c>
      <c r="B24" s="11"/>
      <c r="C24" s="11"/>
      <c r="D24" s="11"/>
      <c r="E24" s="11"/>
      <c r="F24" s="11"/>
      <c r="G24" s="11"/>
      <c r="H24" s="11"/>
      <c r="I24" s="13"/>
      <c r="J24" s="13"/>
      <c r="K24" s="11">
        <f>SUM(K20:K23)</f>
        <v>83</v>
      </c>
      <c r="L24" s="12"/>
      <c r="M24" s="14"/>
      <c r="N24" s="52" t="str">
        <f>IFERROR(VLOOKUP(A24,[1]WHouse!$B$4:$G$18,6,0),"")</f>
        <v>Finish</v>
      </c>
      <c r="O24" s="53">
        <f>SUM(O20:O23)</f>
        <v>2193.5500000000002</v>
      </c>
      <c r="P24" s="53">
        <f>SUM(P20:P23)</f>
        <v>83</v>
      </c>
      <c r="Q24" s="54">
        <f>SUM(O24:P24)</f>
        <v>2276.5500000000002</v>
      </c>
      <c r="R24" s="55">
        <f>Q24-(Q24*0.04)</f>
        <v>2185.4880000000003</v>
      </c>
      <c r="S24" s="55">
        <f>Q24+(Q24*0.04)</f>
        <v>2367.6120000000001</v>
      </c>
      <c r="T24" s="55">
        <f>R24-(0.06*R24)</f>
        <v>2054.3587200000002</v>
      </c>
      <c r="U24" s="55">
        <f>S24+(0.06*S24)</f>
        <v>2509.6687200000001</v>
      </c>
      <c r="V24" s="56">
        <f>S24+(0.1*S24)</f>
        <v>2604.3732</v>
      </c>
    </row>
    <row r="25" spans="1:22" ht="15" customHeight="1" thickBot="1" x14ac:dyDescent="0.3">
      <c r="A25" s="4">
        <v>4.0999999999999996</v>
      </c>
      <c r="B25" s="5" t="s">
        <v>55</v>
      </c>
      <c r="C25" s="5" t="s">
        <v>43</v>
      </c>
      <c r="D25" s="30">
        <v>1</v>
      </c>
      <c r="E25" s="17" t="s">
        <v>36</v>
      </c>
      <c r="F25" s="17">
        <v>42</v>
      </c>
      <c r="G25" s="43" t="s">
        <v>48</v>
      </c>
      <c r="H25" s="43" t="s">
        <v>49</v>
      </c>
      <c r="I25" s="33">
        <v>882</v>
      </c>
      <c r="J25" s="6">
        <f t="shared" ref="J25:J31" si="6">I25*K25</f>
        <v>3528</v>
      </c>
      <c r="K25" s="5">
        <v>4</v>
      </c>
      <c r="L25" s="28" t="s">
        <v>16</v>
      </c>
      <c r="M25" s="29" t="s">
        <v>17</v>
      </c>
      <c r="O25" s="7">
        <f t="shared" ref="O25:O31" si="7">(F25*J25)/1000</f>
        <v>148.17599999999999</v>
      </c>
      <c r="P25" s="7">
        <f t="shared" ref="P25:P31" si="8">K25</f>
        <v>4</v>
      </c>
      <c r="Q25" s="63">
        <f>SUM(O25:P31)</f>
        <v>3044.3959999999997</v>
      </c>
      <c r="R25" s="57"/>
      <c r="S25" s="58"/>
      <c r="T25" s="58"/>
      <c r="U25" s="58"/>
      <c r="V25" s="59"/>
    </row>
    <row r="26" spans="1:22" ht="15" customHeight="1" thickBot="1" x14ac:dyDescent="0.3">
      <c r="A26" s="4">
        <v>4.2</v>
      </c>
      <c r="B26" s="5" t="s">
        <v>55</v>
      </c>
      <c r="C26" s="5" t="s">
        <v>43</v>
      </c>
      <c r="D26" s="30">
        <v>1</v>
      </c>
      <c r="E26" s="17" t="s">
        <v>36</v>
      </c>
      <c r="F26" s="17">
        <v>40</v>
      </c>
      <c r="G26" s="43" t="s">
        <v>50</v>
      </c>
      <c r="H26" s="43" t="s">
        <v>51</v>
      </c>
      <c r="I26" s="34">
        <v>980</v>
      </c>
      <c r="J26" s="9">
        <f t="shared" si="6"/>
        <v>8820</v>
      </c>
      <c r="K26" s="8">
        <v>9</v>
      </c>
      <c r="L26" s="28" t="s">
        <v>16</v>
      </c>
      <c r="M26" s="29" t="s">
        <v>17</v>
      </c>
      <c r="O26" s="7">
        <f t="shared" si="7"/>
        <v>352.8</v>
      </c>
      <c r="P26" s="7">
        <f t="shared" si="8"/>
        <v>9</v>
      </c>
      <c r="Q26" s="63"/>
      <c r="R26" s="57"/>
      <c r="S26" s="58"/>
      <c r="T26" s="58"/>
      <c r="U26" s="58"/>
      <c r="V26" s="59"/>
    </row>
    <row r="27" spans="1:22" ht="15" customHeight="1" thickBot="1" x14ac:dyDescent="0.3">
      <c r="A27" s="4">
        <v>4.3</v>
      </c>
      <c r="B27" s="5" t="s">
        <v>55</v>
      </c>
      <c r="C27" s="5" t="s">
        <v>43</v>
      </c>
      <c r="D27" s="30">
        <v>1</v>
      </c>
      <c r="E27" s="17" t="s">
        <v>36</v>
      </c>
      <c r="F27" s="17">
        <v>40</v>
      </c>
      <c r="G27" s="43" t="s">
        <v>50</v>
      </c>
      <c r="H27" s="43" t="s">
        <v>51</v>
      </c>
      <c r="I27" s="34">
        <v>980</v>
      </c>
      <c r="J27" s="9">
        <f t="shared" ref="J27:J28" si="9">I27*K27</f>
        <v>8820</v>
      </c>
      <c r="K27" s="8">
        <v>9</v>
      </c>
      <c r="L27" s="28" t="s">
        <v>16</v>
      </c>
      <c r="M27" s="29" t="s">
        <v>17</v>
      </c>
      <c r="O27" s="7">
        <f t="shared" ref="O27:O28" si="10">(F27*J27)/1000</f>
        <v>352.8</v>
      </c>
      <c r="P27" s="7">
        <f t="shared" ref="P27:P28" si="11">K27</f>
        <v>9</v>
      </c>
      <c r="Q27" s="63"/>
      <c r="R27" s="57"/>
      <c r="S27" s="58"/>
      <c r="T27" s="58"/>
      <c r="U27" s="58"/>
      <c r="V27" s="59"/>
    </row>
    <row r="28" spans="1:22" ht="15" customHeight="1" thickBot="1" x14ac:dyDescent="0.3">
      <c r="A28" s="4">
        <v>4.4000000000000004</v>
      </c>
      <c r="B28" s="5" t="s">
        <v>55</v>
      </c>
      <c r="C28" s="5" t="s">
        <v>43</v>
      </c>
      <c r="D28" s="30">
        <v>1</v>
      </c>
      <c r="E28" s="17" t="s">
        <v>36</v>
      </c>
      <c r="F28" s="17">
        <v>40</v>
      </c>
      <c r="G28" s="43" t="s">
        <v>50</v>
      </c>
      <c r="H28" s="43" t="s">
        <v>51</v>
      </c>
      <c r="I28" s="34">
        <v>980</v>
      </c>
      <c r="J28" s="9">
        <f t="shared" si="9"/>
        <v>8820</v>
      </c>
      <c r="K28" s="8">
        <v>9</v>
      </c>
      <c r="L28" s="28" t="s">
        <v>16</v>
      </c>
      <c r="M28" s="29" t="s">
        <v>17</v>
      </c>
      <c r="O28" s="7">
        <f t="shared" si="10"/>
        <v>352.8</v>
      </c>
      <c r="P28" s="7">
        <f t="shared" si="11"/>
        <v>9</v>
      </c>
      <c r="Q28" s="63"/>
      <c r="R28" s="57"/>
      <c r="S28" s="58"/>
      <c r="T28" s="58"/>
      <c r="U28" s="58"/>
      <c r="V28" s="59"/>
    </row>
    <row r="29" spans="1:22" ht="15" customHeight="1" thickBot="1" x14ac:dyDescent="0.3">
      <c r="A29" s="4">
        <v>4.5</v>
      </c>
      <c r="B29" s="5" t="s">
        <v>55</v>
      </c>
      <c r="C29" s="5" t="s">
        <v>43</v>
      </c>
      <c r="D29" s="30">
        <v>1</v>
      </c>
      <c r="E29" s="17" t="s">
        <v>36</v>
      </c>
      <c r="F29" s="17">
        <v>40</v>
      </c>
      <c r="G29" s="43" t="s">
        <v>25</v>
      </c>
      <c r="H29" s="43" t="s">
        <v>52</v>
      </c>
      <c r="I29" s="34">
        <v>980</v>
      </c>
      <c r="J29" s="9">
        <f t="shared" si="6"/>
        <v>5880</v>
      </c>
      <c r="K29" s="8">
        <v>6</v>
      </c>
      <c r="L29" s="28" t="s">
        <v>16</v>
      </c>
      <c r="M29" s="29" t="s">
        <v>17</v>
      </c>
      <c r="O29" s="7">
        <f t="shared" si="7"/>
        <v>235.2</v>
      </c>
      <c r="P29" s="7">
        <f t="shared" si="8"/>
        <v>6</v>
      </c>
      <c r="Q29" s="63"/>
      <c r="R29" s="57"/>
      <c r="S29" s="58"/>
      <c r="T29" s="58"/>
      <c r="U29" s="58"/>
      <c r="V29" s="59"/>
    </row>
    <row r="30" spans="1:22" ht="15" customHeight="1" thickBot="1" x14ac:dyDescent="0.3">
      <c r="A30" s="4">
        <v>4.5999999999999996</v>
      </c>
      <c r="B30" s="5" t="s">
        <v>55</v>
      </c>
      <c r="C30" s="5" t="s">
        <v>43</v>
      </c>
      <c r="D30" s="30">
        <v>1</v>
      </c>
      <c r="E30" s="17" t="s">
        <v>36</v>
      </c>
      <c r="F30" s="17">
        <v>40</v>
      </c>
      <c r="G30" s="43" t="s">
        <v>18</v>
      </c>
      <c r="H30" s="43" t="s">
        <v>52</v>
      </c>
      <c r="I30" s="34">
        <v>980</v>
      </c>
      <c r="J30" s="9">
        <f t="shared" si="6"/>
        <v>11760</v>
      </c>
      <c r="K30" s="8">
        <v>12</v>
      </c>
      <c r="L30" s="28" t="s">
        <v>16</v>
      </c>
      <c r="M30" s="29" t="s">
        <v>17</v>
      </c>
      <c r="O30" s="7">
        <f t="shared" si="7"/>
        <v>470.4</v>
      </c>
      <c r="P30" s="7">
        <f t="shared" si="8"/>
        <v>12</v>
      </c>
      <c r="Q30" s="63"/>
      <c r="R30" s="57"/>
      <c r="S30" s="58"/>
      <c r="T30" s="58"/>
      <c r="U30" s="58"/>
      <c r="V30" s="59"/>
    </row>
    <row r="31" spans="1:22" ht="15" customHeight="1" thickBot="1" x14ac:dyDescent="0.3">
      <c r="A31" s="4">
        <v>4.7</v>
      </c>
      <c r="B31" s="5" t="s">
        <v>55</v>
      </c>
      <c r="C31" s="5" t="s">
        <v>43</v>
      </c>
      <c r="D31" s="30">
        <v>1</v>
      </c>
      <c r="E31" s="17" t="s">
        <v>45</v>
      </c>
      <c r="F31" s="17">
        <v>62</v>
      </c>
      <c r="G31" s="43" t="s">
        <v>29</v>
      </c>
      <c r="H31" s="43" t="s">
        <v>47</v>
      </c>
      <c r="I31" s="34">
        <v>410</v>
      </c>
      <c r="J31" s="9">
        <f t="shared" si="6"/>
        <v>16810</v>
      </c>
      <c r="K31" s="8">
        <v>41</v>
      </c>
      <c r="L31" s="28" t="s">
        <v>16</v>
      </c>
      <c r="M31" s="29" t="s">
        <v>17</v>
      </c>
      <c r="O31" s="7">
        <f t="shared" si="7"/>
        <v>1042.22</v>
      </c>
      <c r="P31" s="7">
        <f t="shared" si="8"/>
        <v>41</v>
      </c>
      <c r="Q31" s="63"/>
      <c r="R31" s="57"/>
      <c r="S31" s="58"/>
      <c r="T31" s="58"/>
      <c r="U31" s="58"/>
      <c r="V31" s="59"/>
    </row>
    <row r="32" spans="1:22" ht="15" customHeight="1" thickBot="1" x14ac:dyDescent="0.3">
      <c r="A32" s="10">
        <v>4</v>
      </c>
      <c r="B32" s="11"/>
      <c r="C32" s="11"/>
      <c r="D32" s="11"/>
      <c r="E32" s="11"/>
      <c r="F32" s="11"/>
      <c r="G32" s="11"/>
      <c r="H32" s="11"/>
      <c r="I32" s="13"/>
      <c r="J32" s="13"/>
      <c r="K32" s="11">
        <f>SUM(K25:K31)</f>
        <v>90</v>
      </c>
      <c r="L32" s="12"/>
      <c r="M32" s="14"/>
      <c r="N32" s="52">
        <f>IFERROR(VLOOKUP(A32,[1]WHouse!$B$4:$G$18,6,0),"")</f>
        <v>0</v>
      </c>
      <c r="O32" s="53">
        <f>SUM(O25:O31)</f>
        <v>2954.3959999999997</v>
      </c>
      <c r="P32" s="53">
        <f>SUM(P25:P31)</f>
        <v>90</v>
      </c>
      <c r="Q32" s="54">
        <f>SUM(O32:P32)</f>
        <v>3044.3959999999997</v>
      </c>
      <c r="R32" s="55">
        <f>Q32-(Q32*0.04)</f>
        <v>2922.6201599999999</v>
      </c>
      <c r="S32" s="55">
        <f>Q32+(Q32*0.04)</f>
        <v>3166.1718399999995</v>
      </c>
      <c r="T32" s="55">
        <f>R32-(0.06*R32)</f>
        <v>2747.2629504000001</v>
      </c>
      <c r="U32" s="55">
        <f>S32+(0.06*S32)</f>
        <v>3356.1421503999995</v>
      </c>
      <c r="V32" s="56">
        <f>S32+(0.1*S32)</f>
        <v>3482.7890239999997</v>
      </c>
    </row>
    <row r="33" spans="1:22" ht="15" customHeight="1" thickBot="1" x14ac:dyDescent="0.3">
      <c r="A33" s="4">
        <v>5.0999999999999996</v>
      </c>
      <c r="B33" s="60" t="s">
        <v>53</v>
      </c>
      <c r="C33" s="36" t="s">
        <v>42</v>
      </c>
      <c r="D33" s="37">
        <v>1</v>
      </c>
      <c r="E33" s="38" t="s">
        <v>36</v>
      </c>
      <c r="F33" s="38">
        <v>38</v>
      </c>
      <c r="G33" s="61" t="s">
        <v>14</v>
      </c>
      <c r="H33" s="61" t="s">
        <v>15</v>
      </c>
      <c r="I33" s="33">
        <v>1029</v>
      </c>
      <c r="J33" s="6">
        <f t="shared" ref="J33:J36" si="12">I33*K33</f>
        <v>25725</v>
      </c>
      <c r="K33" s="5">
        <v>25</v>
      </c>
      <c r="L33" s="28" t="s">
        <v>16</v>
      </c>
      <c r="M33" s="29" t="s">
        <v>17</v>
      </c>
      <c r="O33" s="7">
        <f t="shared" ref="O33:O36" si="13">(F33*J33)/1000</f>
        <v>977.55</v>
      </c>
      <c r="P33" s="7">
        <f t="shared" ref="P33:P36" si="14">K33</f>
        <v>25</v>
      </c>
      <c r="Q33" s="63">
        <f>SUM(O33:P36)</f>
        <v>2276.5500000000002</v>
      </c>
      <c r="R33" s="57"/>
      <c r="S33" s="58"/>
      <c r="T33" s="58"/>
      <c r="U33" s="58"/>
      <c r="V33" s="59"/>
    </row>
    <row r="34" spans="1:22" ht="15" customHeight="1" thickBot="1" x14ac:dyDescent="0.3">
      <c r="A34" s="35">
        <v>5.2</v>
      </c>
      <c r="B34" s="62" t="s">
        <v>54</v>
      </c>
      <c r="C34" s="17" t="s">
        <v>43</v>
      </c>
      <c r="D34" s="17">
        <v>2</v>
      </c>
      <c r="E34" s="17" t="s">
        <v>45</v>
      </c>
      <c r="F34" s="17">
        <v>62</v>
      </c>
      <c r="G34" s="62" t="s">
        <v>31</v>
      </c>
      <c r="H34" s="62" t="s">
        <v>22</v>
      </c>
      <c r="I34" s="34">
        <v>380</v>
      </c>
      <c r="J34" s="9">
        <f t="shared" si="12"/>
        <v>7600</v>
      </c>
      <c r="K34" s="8">
        <v>20</v>
      </c>
      <c r="L34" s="28" t="s">
        <v>16</v>
      </c>
      <c r="M34" s="29" t="s">
        <v>17</v>
      </c>
      <c r="O34" s="7">
        <f t="shared" si="13"/>
        <v>471.2</v>
      </c>
      <c r="P34" s="7">
        <f t="shared" si="14"/>
        <v>20</v>
      </c>
      <c r="Q34" s="63"/>
      <c r="R34" s="57"/>
      <c r="S34" s="58"/>
      <c r="T34" s="58"/>
      <c r="U34" s="58"/>
      <c r="V34" s="59"/>
    </row>
    <row r="35" spans="1:22" ht="15" customHeight="1" thickBot="1" x14ac:dyDescent="0.3">
      <c r="A35" s="4">
        <v>5.3</v>
      </c>
      <c r="B35" s="62" t="s">
        <v>54</v>
      </c>
      <c r="C35" s="17" t="s">
        <v>43</v>
      </c>
      <c r="D35" s="17">
        <v>2</v>
      </c>
      <c r="E35" s="17" t="s">
        <v>45</v>
      </c>
      <c r="F35" s="17">
        <v>62</v>
      </c>
      <c r="G35" s="62" t="s">
        <v>21</v>
      </c>
      <c r="H35" s="62" t="s">
        <v>28</v>
      </c>
      <c r="I35" s="34">
        <v>380</v>
      </c>
      <c r="J35" s="9">
        <f t="shared" si="12"/>
        <v>7600</v>
      </c>
      <c r="K35" s="8">
        <v>20</v>
      </c>
      <c r="L35" s="28" t="s">
        <v>16</v>
      </c>
      <c r="M35" s="29" t="s">
        <v>17</v>
      </c>
      <c r="O35" s="7">
        <f t="shared" si="13"/>
        <v>471.2</v>
      </c>
      <c r="P35" s="7">
        <f t="shared" si="14"/>
        <v>20</v>
      </c>
      <c r="Q35" s="63"/>
      <c r="R35" s="57"/>
      <c r="S35" s="58"/>
      <c r="T35" s="58"/>
      <c r="U35" s="58"/>
      <c r="V35" s="59"/>
    </row>
    <row r="36" spans="1:22" ht="15" customHeight="1" thickBot="1" x14ac:dyDescent="0.3">
      <c r="A36" s="35">
        <v>5.4</v>
      </c>
      <c r="B36" s="62" t="s">
        <v>54</v>
      </c>
      <c r="C36" s="17" t="s">
        <v>43</v>
      </c>
      <c r="D36" s="17">
        <v>2</v>
      </c>
      <c r="E36" s="17" t="s">
        <v>36</v>
      </c>
      <c r="F36" s="17">
        <v>40</v>
      </c>
      <c r="G36" s="62" t="s">
        <v>20</v>
      </c>
      <c r="H36" s="62" t="s">
        <v>30</v>
      </c>
      <c r="I36" s="34">
        <v>380</v>
      </c>
      <c r="J36" s="9">
        <f t="shared" si="12"/>
        <v>6840</v>
      </c>
      <c r="K36" s="8">
        <v>18</v>
      </c>
      <c r="L36" s="28" t="s">
        <v>16</v>
      </c>
      <c r="M36" s="29" t="s">
        <v>17</v>
      </c>
      <c r="O36" s="7">
        <f t="shared" si="13"/>
        <v>273.60000000000002</v>
      </c>
      <c r="P36" s="7">
        <f t="shared" si="14"/>
        <v>18</v>
      </c>
      <c r="Q36" s="63"/>
      <c r="R36" s="57"/>
      <c r="S36" s="58"/>
      <c r="T36" s="58"/>
      <c r="U36" s="58"/>
      <c r="V36" s="59"/>
    </row>
    <row r="37" spans="1:22" ht="15" customHeight="1" x14ac:dyDescent="0.25">
      <c r="A37" s="10">
        <v>5</v>
      </c>
      <c r="B37" s="11"/>
      <c r="C37" s="11"/>
      <c r="D37" s="11"/>
      <c r="E37" s="11"/>
      <c r="F37" s="11"/>
      <c r="G37" s="11"/>
      <c r="H37" s="11"/>
      <c r="I37" s="13"/>
      <c r="J37" s="13"/>
      <c r="K37" s="11">
        <f>SUM(K33:K36)</f>
        <v>83</v>
      </c>
      <c r="L37" s="12"/>
      <c r="M37" s="14"/>
      <c r="N37" s="52">
        <f>IFERROR(VLOOKUP(A37,[1]WHouse!$B$4:$G$18,6,0),"")</f>
        <v>0</v>
      </c>
      <c r="O37" s="53">
        <f>SUM(O33:O36)</f>
        <v>2193.5500000000002</v>
      </c>
      <c r="P37" s="53">
        <f>SUM(P33:P36)</f>
        <v>83</v>
      </c>
      <c r="Q37" s="54">
        <f>SUM(O37:P37)</f>
        <v>2276.5500000000002</v>
      </c>
      <c r="R37" s="55">
        <f>Q37-(Q37*0.04)</f>
        <v>2185.4880000000003</v>
      </c>
      <c r="S37" s="55">
        <f>Q37+(Q37*0.04)</f>
        <v>2367.6120000000001</v>
      </c>
      <c r="T37" s="55">
        <f>R37-(0.06*R37)</f>
        <v>2054.3587200000002</v>
      </c>
      <c r="U37" s="55">
        <f>S37+(0.06*S37)</f>
        <v>2509.6687200000001</v>
      </c>
      <c r="V37" s="56">
        <f>S37+(0.1*S37)</f>
        <v>2604.3732</v>
      </c>
    </row>
  </sheetData>
  <mergeCells count="26">
    <mergeCell ref="L4:L5"/>
    <mergeCell ref="T4:U4"/>
    <mergeCell ref="Q20:Q23"/>
    <mergeCell ref="V4:V5"/>
    <mergeCell ref="Q6:Q12"/>
    <mergeCell ref="N4:N5"/>
    <mergeCell ref="O4:O5"/>
    <mergeCell ref="P4:P5"/>
    <mergeCell ref="Q4:Q5"/>
    <mergeCell ref="R4:S4"/>
    <mergeCell ref="Q25:Q31"/>
    <mergeCell ref="Q33:Q36"/>
    <mergeCell ref="M4:M5"/>
    <mergeCell ref="Q14:Q18"/>
    <mergeCell ref="A1:M2"/>
    <mergeCell ref="A3:M3"/>
    <mergeCell ref="A4:A5"/>
    <mergeCell ref="B4:B5"/>
    <mergeCell ref="C4:C5"/>
    <mergeCell ref="D4:D5"/>
    <mergeCell ref="E4:F4"/>
    <mergeCell ref="G4:G5"/>
    <mergeCell ref="H4:H5"/>
    <mergeCell ref="I4:I5"/>
    <mergeCell ref="J4:J5"/>
    <mergeCell ref="K4:K5"/>
  </mergeCells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Sabar</dc:creator>
  <cp:lastModifiedBy>Ali Sabar</cp:lastModifiedBy>
  <dcterms:created xsi:type="dcterms:W3CDTF">2025-07-01T04:51:41Z</dcterms:created>
  <dcterms:modified xsi:type="dcterms:W3CDTF">2026-06-26T02:41:35Z</dcterms:modified>
</cp:coreProperties>
</file>