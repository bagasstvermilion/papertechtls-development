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255_LOADINGWB\Downloads\"/>
    </mc:Choice>
  </mc:AlternateContent>
  <xr:revisionPtr revIDLastSave="0" documentId="13_ncr:1_{3BE1CC59-A0D9-4AD6-8923-FB2952F46BD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CS Form" sheetId="1" r:id="rId1"/>
  </sheets>
  <externalReferences>
    <externalReference r:id="rId2"/>
  </externalReferences>
  <definedNames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7" i="1" l="1"/>
  <c r="J7" i="1"/>
  <c r="O7" i="1" s="1"/>
  <c r="P75" i="1"/>
  <c r="J75" i="1"/>
  <c r="O75" i="1" s="1"/>
  <c r="P74" i="1"/>
  <c r="J74" i="1"/>
  <c r="O74" i="1" s="1"/>
  <c r="Q74" i="1" s="1"/>
  <c r="P73" i="1"/>
  <c r="J73" i="1"/>
  <c r="O73" i="1" s="1"/>
  <c r="Q73" i="1" s="1"/>
  <c r="N72" i="1"/>
  <c r="K72" i="1"/>
  <c r="P71" i="1"/>
  <c r="J71" i="1"/>
  <c r="O71" i="1" s="1"/>
  <c r="P70" i="1"/>
  <c r="J70" i="1"/>
  <c r="O70" i="1" s="1"/>
  <c r="P69" i="1"/>
  <c r="J69" i="1"/>
  <c r="O69" i="1" s="1"/>
  <c r="P68" i="1"/>
  <c r="P72" i="1" s="1"/>
  <c r="J68" i="1"/>
  <c r="O68" i="1" s="1"/>
  <c r="N67" i="1"/>
  <c r="K67" i="1"/>
  <c r="P66" i="1"/>
  <c r="P67" i="1" s="1"/>
  <c r="J66" i="1"/>
  <c r="O66" i="1" s="1"/>
  <c r="N65" i="1"/>
  <c r="K65" i="1"/>
  <c r="P64" i="1"/>
  <c r="J64" i="1"/>
  <c r="O64" i="1" s="1"/>
  <c r="P63" i="1"/>
  <c r="J63" i="1"/>
  <c r="O63" i="1" s="1"/>
  <c r="P62" i="1"/>
  <c r="J62" i="1"/>
  <c r="O62" i="1" s="1"/>
  <c r="P61" i="1"/>
  <c r="J61" i="1"/>
  <c r="O61" i="1" s="1"/>
  <c r="P60" i="1"/>
  <c r="J60" i="1"/>
  <c r="O60" i="1" s="1"/>
  <c r="P59" i="1"/>
  <c r="J59" i="1"/>
  <c r="O59" i="1" s="1"/>
  <c r="N58" i="1"/>
  <c r="K58" i="1"/>
  <c r="P57" i="1"/>
  <c r="J57" i="1"/>
  <c r="O57" i="1" s="1"/>
  <c r="P56" i="1"/>
  <c r="J56" i="1"/>
  <c r="O56" i="1" s="1"/>
  <c r="P55" i="1"/>
  <c r="J55" i="1"/>
  <c r="O55" i="1" s="1"/>
  <c r="P54" i="1"/>
  <c r="J54" i="1"/>
  <c r="O54" i="1" s="1"/>
  <c r="P53" i="1"/>
  <c r="J53" i="1"/>
  <c r="O53" i="1" s="1"/>
  <c r="N52" i="1"/>
  <c r="K52" i="1"/>
  <c r="P51" i="1"/>
  <c r="J51" i="1"/>
  <c r="O51" i="1" s="1"/>
  <c r="P50" i="1"/>
  <c r="J50" i="1"/>
  <c r="O50" i="1" s="1"/>
  <c r="N49" i="1"/>
  <c r="K49" i="1"/>
  <c r="P48" i="1"/>
  <c r="J48" i="1"/>
  <c r="O48" i="1" s="1"/>
  <c r="P47" i="1"/>
  <c r="J47" i="1"/>
  <c r="O47" i="1" s="1"/>
  <c r="P46" i="1"/>
  <c r="J46" i="1"/>
  <c r="O46" i="1" s="1"/>
  <c r="P45" i="1"/>
  <c r="J45" i="1"/>
  <c r="O45" i="1" s="1"/>
  <c r="P44" i="1"/>
  <c r="J44" i="1"/>
  <c r="O44" i="1" s="1"/>
  <c r="P43" i="1"/>
  <c r="J43" i="1"/>
  <c r="O43" i="1" s="1"/>
  <c r="P42" i="1"/>
  <c r="J42" i="1"/>
  <c r="O42" i="1" s="1"/>
  <c r="P41" i="1"/>
  <c r="J41" i="1"/>
  <c r="O41" i="1" s="1"/>
  <c r="N40" i="1"/>
  <c r="K40" i="1"/>
  <c r="P39" i="1"/>
  <c r="J39" i="1"/>
  <c r="O39" i="1" s="1"/>
  <c r="P38" i="1"/>
  <c r="J38" i="1"/>
  <c r="O38" i="1" s="1"/>
  <c r="P37" i="1"/>
  <c r="J37" i="1"/>
  <c r="O37" i="1" s="1"/>
  <c r="P36" i="1"/>
  <c r="J36" i="1"/>
  <c r="O36" i="1" s="1"/>
  <c r="P35" i="1"/>
  <c r="O35" i="1"/>
  <c r="J35" i="1"/>
  <c r="P34" i="1"/>
  <c r="J34" i="1"/>
  <c r="O34" i="1" s="1"/>
  <c r="P33" i="1"/>
  <c r="J33" i="1"/>
  <c r="O33" i="1" s="1"/>
  <c r="P32" i="1"/>
  <c r="J32" i="1"/>
  <c r="O32" i="1" s="1"/>
  <c r="P31" i="1"/>
  <c r="J31" i="1"/>
  <c r="O31" i="1" s="1"/>
  <c r="P30" i="1"/>
  <c r="J30" i="1"/>
  <c r="O30" i="1" s="1"/>
  <c r="P29" i="1"/>
  <c r="J29" i="1"/>
  <c r="O29" i="1" s="1"/>
  <c r="N28" i="1"/>
  <c r="K28" i="1"/>
  <c r="P27" i="1"/>
  <c r="J27" i="1"/>
  <c r="O27" i="1" s="1"/>
  <c r="P26" i="1"/>
  <c r="J26" i="1"/>
  <c r="O26" i="1" s="1"/>
  <c r="P25" i="1"/>
  <c r="J25" i="1"/>
  <c r="O25" i="1" s="1"/>
  <c r="P24" i="1"/>
  <c r="J24" i="1"/>
  <c r="O24" i="1" s="1"/>
  <c r="P23" i="1"/>
  <c r="J23" i="1"/>
  <c r="O23" i="1" s="1"/>
  <c r="P22" i="1"/>
  <c r="J22" i="1"/>
  <c r="O22" i="1" s="1"/>
  <c r="N21" i="1"/>
  <c r="K21" i="1"/>
  <c r="P20" i="1"/>
  <c r="J20" i="1"/>
  <c r="O20" i="1" s="1"/>
  <c r="P19" i="1"/>
  <c r="J19" i="1"/>
  <c r="O19" i="1" s="1"/>
  <c r="P18" i="1"/>
  <c r="J18" i="1"/>
  <c r="O18" i="1" s="1"/>
  <c r="P17" i="1"/>
  <c r="J17" i="1"/>
  <c r="O17" i="1" s="1"/>
  <c r="P16" i="1"/>
  <c r="J16" i="1"/>
  <c r="O16" i="1" s="1"/>
  <c r="P15" i="1"/>
  <c r="J15" i="1"/>
  <c r="O15" i="1" s="1"/>
  <c r="N14" i="1"/>
  <c r="K14" i="1"/>
  <c r="P13" i="1"/>
  <c r="J13" i="1"/>
  <c r="O13" i="1" s="1"/>
  <c r="P12" i="1"/>
  <c r="J12" i="1"/>
  <c r="O12" i="1" s="1"/>
  <c r="P11" i="1"/>
  <c r="J11" i="1"/>
  <c r="O11" i="1" s="1"/>
  <c r="P10" i="1"/>
  <c r="J10" i="1"/>
  <c r="O10" i="1" s="1"/>
  <c r="P9" i="1"/>
  <c r="J9" i="1"/>
  <c r="O9" i="1" s="1"/>
  <c r="P8" i="1"/>
  <c r="J8" i="1"/>
  <c r="O8" i="1" s="1"/>
  <c r="P6" i="1"/>
  <c r="J6" i="1"/>
  <c r="P58" i="1" l="1"/>
  <c r="P52" i="1"/>
  <c r="Q66" i="1"/>
  <c r="O67" i="1"/>
  <c r="Q67" i="1" s="1"/>
  <c r="K76" i="1"/>
  <c r="O72" i="1"/>
  <c r="Q72" i="1" s="1"/>
  <c r="S72" i="1" s="1"/>
  <c r="J76" i="1"/>
  <c r="P14" i="1"/>
  <c r="P49" i="1"/>
  <c r="P40" i="1"/>
  <c r="P21" i="1"/>
  <c r="P28" i="1"/>
  <c r="Q50" i="1"/>
  <c r="P65" i="1"/>
  <c r="O21" i="1"/>
  <c r="Q15" i="1"/>
  <c r="S67" i="1"/>
  <c r="R67" i="1"/>
  <c r="T67" i="1" s="1"/>
  <c r="O28" i="1"/>
  <c r="Q59" i="1"/>
  <c r="O65" i="1"/>
  <c r="O40" i="1"/>
  <c r="Q40" i="1" s="1"/>
  <c r="Q29" i="1"/>
  <c r="O52" i="1"/>
  <c r="Q52" i="1" s="1"/>
  <c r="Q41" i="1"/>
  <c r="O49" i="1"/>
  <c r="O58" i="1"/>
  <c r="Q58" i="1" s="1"/>
  <c r="Q53" i="1"/>
  <c r="Q22" i="1"/>
  <c r="Q68" i="1"/>
  <c r="O6" i="1"/>
  <c r="R72" i="1" l="1"/>
  <c r="T72" i="1" s="1"/>
  <c r="Q65" i="1"/>
  <c r="R65" i="1" s="1"/>
  <c r="T65" i="1" s="1"/>
  <c r="Q28" i="1"/>
  <c r="Q49" i="1"/>
  <c r="Q21" i="1"/>
  <c r="O14" i="1"/>
  <c r="Q14" i="1" s="1"/>
  <c r="Q6" i="1"/>
  <c r="S40" i="1"/>
  <c r="R40" i="1"/>
  <c r="T40" i="1" s="1"/>
  <c r="R28" i="1"/>
  <c r="T28" i="1" s="1"/>
  <c r="S28" i="1"/>
  <c r="U67" i="1"/>
  <c r="V67" i="1"/>
  <c r="S58" i="1"/>
  <c r="R58" i="1"/>
  <c r="T58" i="1" s="1"/>
  <c r="R52" i="1"/>
  <c r="T52" i="1" s="1"/>
  <c r="S52" i="1"/>
  <c r="V72" i="1"/>
  <c r="U72" i="1"/>
  <c r="R49" i="1"/>
  <c r="T49" i="1" s="1"/>
  <c r="S49" i="1"/>
  <c r="S21" i="1"/>
  <c r="R21" i="1"/>
  <c r="T21" i="1" s="1"/>
  <c r="S65" i="1" l="1"/>
  <c r="V58" i="1"/>
  <c r="U58" i="1"/>
  <c r="V28" i="1"/>
  <c r="U28" i="1"/>
  <c r="V49" i="1"/>
  <c r="U49" i="1"/>
  <c r="V40" i="1"/>
  <c r="U40" i="1"/>
  <c r="S14" i="1"/>
  <c r="R14" i="1"/>
  <c r="T14" i="1" s="1"/>
  <c r="V21" i="1"/>
  <c r="U21" i="1"/>
  <c r="V52" i="1"/>
  <c r="U52" i="1"/>
  <c r="V65" i="1"/>
  <c r="U65" i="1"/>
  <c r="V14" i="1" l="1"/>
  <c r="U14" i="1"/>
</calcChain>
</file>

<file path=xl/sharedStrings.xml><?xml version="1.0" encoding="utf-8"?>
<sst xmlns="http://schemas.openxmlformats.org/spreadsheetml/2006/main" count="379" uniqueCount="113">
  <si>
    <t>di lock</t>
  </si>
  <si>
    <t>Kedatangan Truck</t>
  </si>
  <si>
    <t>Nama Customer</t>
  </si>
  <si>
    <t>Area</t>
  </si>
  <si>
    <t>Urutan Bongkar</t>
  </si>
  <si>
    <t>Item Desc</t>
  </si>
  <si>
    <t>Color</t>
  </si>
  <si>
    <t>Pattern Nose</t>
  </si>
  <si>
    <t>Qty/(Box/pallet)</t>
  </si>
  <si>
    <t>Qty/Pcs</t>
  </si>
  <si>
    <t>Qty Box / pallet</t>
  </si>
  <si>
    <t>Status</t>
  </si>
  <si>
    <t>Waktu Muat</t>
  </si>
  <si>
    <t>BERAT TOTAL (Kg)</t>
  </si>
  <si>
    <t>BERAT box (Kg)</t>
  </si>
  <si>
    <t>BERAT ISI TRUCK</t>
  </si>
  <si>
    <t>NORMAL</t>
  </si>
  <si>
    <t>TOLERANSI</t>
  </si>
  <si>
    <t>WARNING</t>
  </si>
  <si>
    <t>type</t>
  </si>
  <si>
    <t>weight</t>
  </si>
  <si>
    <t>Min</t>
  </si>
  <si>
    <t>Max</t>
  </si>
  <si>
    <t>Bandung</t>
  </si>
  <si>
    <t>Cone 5'32</t>
  </si>
  <si>
    <t>No Color</t>
  </si>
  <si>
    <t>No Pattern</t>
  </si>
  <si>
    <t>Stock Ready</t>
  </si>
  <si>
    <t>Muat Gantung</t>
  </si>
  <si>
    <t>KONDOBO  TEXTINDO, PT.</t>
  </si>
  <si>
    <t>Subang</t>
  </si>
  <si>
    <t>Cone 5'57</t>
  </si>
  <si>
    <t>Brown</t>
  </si>
  <si>
    <t>Solid</t>
  </si>
  <si>
    <t>Cone 3'30</t>
  </si>
  <si>
    <t>Netral</t>
  </si>
  <si>
    <t>Tip Solid</t>
  </si>
  <si>
    <t>Cone 4'20</t>
  </si>
  <si>
    <t>Blue</t>
  </si>
  <si>
    <t>Clubs</t>
  </si>
  <si>
    <t xml:space="preserve">Cone 4'20 </t>
  </si>
  <si>
    <t>Lime</t>
  </si>
  <si>
    <t>Star</t>
  </si>
  <si>
    <t>Green</t>
  </si>
  <si>
    <t>Cactus</t>
  </si>
  <si>
    <t>DONG-IL INDONESIA , PT.</t>
  </si>
  <si>
    <t>Bekasi</t>
  </si>
  <si>
    <t xml:space="preserve">Cone 3'30 </t>
  </si>
  <si>
    <t>(blank)</t>
  </si>
  <si>
    <t>TIP ECO MARATHON</t>
  </si>
  <si>
    <t>On Production</t>
  </si>
  <si>
    <t>Muat Pagi</t>
  </si>
  <si>
    <t>GOKAK INDONESIA, PT. Total</t>
  </si>
  <si>
    <t>Bogor</t>
  </si>
  <si>
    <t>Diamond</t>
  </si>
  <si>
    <t>Tube  50</t>
  </si>
  <si>
    <t>Full Body</t>
  </si>
  <si>
    <t>GUNZE INDONESIA,PT</t>
  </si>
  <si>
    <t>INDO LIBERTY TEXTILES, PT.</t>
  </si>
  <si>
    <t>Karawang</t>
  </si>
  <si>
    <t>White</t>
  </si>
  <si>
    <t>Ready Stock</t>
  </si>
  <si>
    <t>Yellow</t>
  </si>
  <si>
    <t>Horison</t>
  </si>
  <si>
    <t>Grey</t>
  </si>
  <si>
    <t>Violet</t>
  </si>
  <si>
    <t>4,1</t>
  </si>
  <si>
    <t>EMBEE PLUMBON TEKSTIL, PT.</t>
  </si>
  <si>
    <t>Majalengka</t>
  </si>
  <si>
    <t>Slash</t>
  </si>
  <si>
    <t>Orange</t>
  </si>
  <si>
    <t>Hearts</t>
  </si>
  <si>
    <t>Black</t>
  </si>
  <si>
    <t>Triangle</t>
  </si>
  <si>
    <t>PLUMBON INTERNATIONAL TEXTILE</t>
  </si>
  <si>
    <t>Cirebon</t>
  </si>
  <si>
    <t>ELEGANT TEXTILE INDUSTRY, PT.</t>
  </si>
  <si>
    <t>Purwakarta</t>
  </si>
  <si>
    <t>Red</t>
  </si>
  <si>
    <t>Dots</t>
  </si>
  <si>
    <t>Question</t>
  </si>
  <si>
    <t>Pink</t>
  </si>
  <si>
    <t>SUNRISE BUMI TEXTILES, PT. Total</t>
  </si>
  <si>
    <t>INDO-RAMA SYNTHETICS Jatiluhur</t>
  </si>
  <si>
    <t>PT. BUKIT MURIA JAYA</t>
  </si>
  <si>
    <t>PAPER CORE,ID152,4MM,70MM,8MM</t>
  </si>
  <si>
    <t>PAPER CORE,ID76,5MM,140MM,8MM</t>
  </si>
  <si>
    <t>CV. SINAR KARTON</t>
  </si>
  <si>
    <t>EDGE BOARD 30 X 30 X 3 X 1000 MM</t>
  </si>
  <si>
    <t>KAHATEX, PT. Total</t>
  </si>
  <si>
    <t>Tick</t>
  </si>
  <si>
    <t>PT. SPINMILL INDAH INDUSTRY Total</t>
  </si>
  <si>
    <t>Tangerang</t>
  </si>
  <si>
    <t>GEMILANG MAJU TEXINDOTAMA, PT.</t>
  </si>
  <si>
    <t>Tube  67</t>
  </si>
  <si>
    <t>Tunas Mitra Sukses PT</t>
  </si>
  <si>
    <t>EDGE BOARD 50 X 50 X 3 X 2400 MM</t>
  </si>
  <si>
    <t xml:space="preserve">PT. KARYA PUTRA SUKSES </t>
  </si>
  <si>
    <t>Jakarta Barat</t>
  </si>
  <si>
    <t>EDGE BOARD 50 X 50 X 3 X 122 MM</t>
  </si>
  <si>
    <t>EDGE BOARD 50 X 50 X 3 X 140 MM</t>
  </si>
  <si>
    <t>EDGE BOARD 50 X 50 X 3 X 188 MM</t>
  </si>
  <si>
    <t>EDGE BOARD 50 X 50 X 3 X 207 MM</t>
  </si>
  <si>
    <t>SINERGI ANDALAN MADANI</t>
  </si>
  <si>
    <t>Cileungsi</t>
  </si>
  <si>
    <t>EDGE BOARD 50 X 50 X 5 X 1000 MM</t>
  </si>
  <si>
    <t>EDGE BOARD 40 X 40 X 3 X 2140 MM</t>
  </si>
  <si>
    <t>EDGE BOARD 40 X 40 X 3 X 2300 MM</t>
  </si>
  <si>
    <t xml:space="preserve">TOTAL </t>
  </si>
  <si>
    <t>WWWW INDONESIA, PT.</t>
  </si>
  <si>
    <t>ANGIN RIBUTY</t>
  </si>
  <si>
    <t>ASIAN COTTON, PT.</t>
  </si>
  <si>
    <t>06-07-2026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</si>
</sst>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-* #,##0_-;\-* #,##0_-;_-* \-_-;_-@_-"/>
    <numFmt numFmtId="166" formatCode="_(* #,##0_);_(* \(#,##0\);_(* \-??_);_(@_)"/>
  </numFmts>
  <fonts count="15" x14ac:knownFonts="1">
    <font>
      <sz val="11"/>
      <color theme="1"/>
      <name val="Aptos Narrow"/>
      <family val="2"/>
      <charset val="1"/>
    </font>
    <font>
      <sz val="8"/>
      <color theme="1"/>
      <name val="Calibri"/>
      <family val="2"/>
      <charset val="1"/>
    </font>
    <font>
      <sz val="1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color theme="1"/>
      <name val="Aptos Narrow"/>
      <family val="2"/>
      <charset val="1"/>
    </font>
    <font>
      <sz val="9"/>
      <color theme="1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9"/>
      <color theme="1"/>
      <name val="Calibri"/>
      <family val="2"/>
      <charset val="1"/>
    </font>
    <font>
      <sz val="6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theme="1"/>
      <name val="Aptos Narrow"/>
      <family val="2"/>
      <charset val="1"/>
    </font>
    <font>
      <b/>
      <sz val="6"/>
      <color theme="1"/>
      <name val="Calibri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A6CAEC"/>
      </patternFill>
    </fill>
    <fill>
      <patternFill patternType="solid">
        <fgColor theme="3" tint="0.74987029633472702"/>
        <bgColor rgb="FF9CC2E5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969696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14" fillId="0" borderId="0" applyBorder="0" applyProtection="0"/>
    <xf numFmtId="165" fontId="14" fillId="0" borderId="0" applyBorder="0" applyProtection="0"/>
    <xf numFmtId="0" fontId="14" fillId="0" borderId="0"/>
    <xf numFmtId="0" fontId="14" fillId="0" borderId="0"/>
  </cellStyleXfs>
  <cellXfs count="124">
    <xf numFmtId="0" fontId="0" fillId="0" borderId="0" xfId="0"/>
    <xf numFmtId="0" fontId="1" fillId="0" borderId="10" xfId="4" applyFont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0" fontId="14" fillId="0" borderId="0" xfId="4"/>
    <xf numFmtId="0" fontId="14" fillId="0" borderId="0" xfId="4" applyAlignment="1">
      <alignment horizontal="center"/>
    </xf>
    <xf numFmtId="166" fontId="14" fillId="0" borderId="0" xfId="1" applyNumberFormat="1" applyBorder="1" applyProtection="1"/>
    <xf numFmtId="0" fontId="3" fillId="4" borderId="6" xfId="4" applyFont="1" applyFill="1" applyBorder="1" applyAlignment="1">
      <alignment horizontal="center" vertical="center" wrapText="1"/>
    </xf>
    <xf numFmtId="0" fontId="3" fillId="4" borderId="7" xfId="4" applyFont="1" applyFill="1" applyBorder="1" applyAlignment="1">
      <alignment horizontal="center" vertical="center" wrapText="1"/>
    </xf>
    <xf numFmtId="166" fontId="6" fillId="5" borderId="2" xfId="1" applyNumberFormat="1" applyFont="1" applyFill="1" applyBorder="1" applyAlignment="1" applyProtection="1">
      <alignment horizontal="center"/>
    </xf>
    <xf numFmtId="166" fontId="6" fillId="5" borderId="8" xfId="1" applyNumberFormat="1" applyFont="1" applyFill="1" applyBorder="1" applyAlignment="1" applyProtection="1">
      <alignment horizontal="center"/>
    </xf>
    <xf numFmtId="166" fontId="7" fillId="3" borderId="2" xfId="1" applyNumberFormat="1" applyFont="1" applyFill="1" applyBorder="1" applyAlignment="1" applyProtection="1">
      <alignment horizontal="center" vertical="center"/>
    </xf>
    <xf numFmtId="0" fontId="1" fillId="2" borderId="9" xfId="4" applyFont="1" applyFill="1" applyBorder="1" applyAlignment="1">
      <alignment horizontal="center" vertical="center"/>
    </xf>
    <xf numFmtId="0" fontId="1" fillId="0" borderId="10" xfId="4" applyFont="1" applyBorder="1" applyAlignment="1">
      <alignment horizontal="left" vertical="center"/>
    </xf>
    <xf numFmtId="165" fontId="1" fillId="0" borderId="10" xfId="2" applyFont="1" applyBorder="1" applyAlignment="1" applyProtection="1">
      <alignment horizontal="center" vertical="center"/>
    </xf>
    <xf numFmtId="0" fontId="1" fillId="7" borderId="10" xfId="4" applyFont="1" applyFill="1" applyBorder="1" applyAlignment="1">
      <alignment horizontal="left" vertical="center"/>
    </xf>
    <xf numFmtId="0" fontId="1" fillId="0" borderId="11" xfId="4" applyFont="1" applyBorder="1" applyAlignment="1">
      <alignment horizontal="left" vertical="center"/>
    </xf>
    <xf numFmtId="165" fontId="1" fillId="0" borderId="2" xfId="4" applyNumberFormat="1" applyFont="1" applyBorder="1"/>
    <xf numFmtId="166" fontId="14" fillId="0" borderId="6" xfId="1" applyNumberFormat="1" applyBorder="1" applyProtection="1"/>
    <xf numFmtId="166" fontId="14" fillId="0" borderId="7" xfId="1" applyNumberFormat="1" applyBorder="1" applyProtection="1"/>
    <xf numFmtId="0" fontId="1" fillId="2" borderId="12" xfId="4" applyFont="1" applyFill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0" fontId="1" fillId="0" borderId="2" xfId="4" applyFont="1" applyBorder="1" applyAlignment="1">
      <alignment horizontal="center" vertical="center"/>
    </xf>
    <xf numFmtId="0" fontId="1" fillId="0" borderId="2" xfId="4" applyFont="1" applyBorder="1" applyAlignment="1">
      <alignment horizontal="left" vertical="center"/>
    </xf>
    <xf numFmtId="165" fontId="1" fillId="0" borderId="2" xfId="2" applyFont="1" applyBorder="1" applyAlignment="1" applyProtection="1">
      <alignment horizontal="center" vertical="center"/>
    </xf>
    <xf numFmtId="165" fontId="1" fillId="0" borderId="13" xfId="2" applyFont="1" applyBorder="1" applyAlignment="1" applyProtection="1">
      <alignment horizontal="center" vertical="center"/>
    </xf>
    <xf numFmtId="0" fontId="1" fillId="7" borderId="13" xfId="4" applyFont="1" applyFill="1" applyBorder="1" applyAlignment="1">
      <alignment horizontal="left" vertical="center"/>
    </xf>
    <xf numFmtId="0" fontId="1" fillId="0" borderId="14" xfId="4" applyFont="1" applyBorder="1" applyAlignment="1">
      <alignment horizontal="left" vertical="center"/>
    </xf>
    <xf numFmtId="0" fontId="1" fillId="7" borderId="2" xfId="4" applyFont="1" applyFill="1" applyBorder="1" applyAlignment="1">
      <alignment horizontal="left" vertical="center"/>
    </xf>
    <xf numFmtId="165" fontId="1" fillId="0" borderId="15" xfId="2" applyFont="1" applyBorder="1" applyAlignment="1" applyProtection="1">
      <alignment horizontal="center" vertical="center"/>
    </xf>
    <xf numFmtId="165" fontId="1" fillId="0" borderId="16" xfId="2" applyFont="1" applyBorder="1" applyAlignment="1" applyProtection="1">
      <alignment horizontal="center" vertical="center"/>
    </xf>
    <xf numFmtId="0" fontId="1" fillId="7" borderId="15" xfId="4" applyFont="1" applyFill="1" applyBorder="1" applyAlignment="1">
      <alignment horizontal="left" vertical="center"/>
    </xf>
    <xf numFmtId="0" fontId="1" fillId="0" borderId="17" xfId="4" applyFont="1" applyBorder="1" applyAlignment="1">
      <alignment horizontal="left" vertical="center"/>
    </xf>
    <xf numFmtId="0" fontId="9" fillId="3" borderId="18" xfId="4" applyFont="1" applyFill="1" applyBorder="1" applyAlignment="1">
      <alignment horizontal="center" vertical="center"/>
    </xf>
    <xf numFmtId="0" fontId="9" fillId="3" borderId="0" xfId="4" applyFont="1" applyFill="1" applyAlignment="1">
      <alignment horizontal="center" vertical="center"/>
    </xf>
    <xf numFmtId="0" fontId="9" fillId="3" borderId="7" xfId="4" applyFont="1" applyFill="1" applyBorder="1" applyAlignment="1">
      <alignment horizontal="center" vertical="center"/>
    </xf>
    <xf numFmtId="0" fontId="9" fillId="3" borderId="19" xfId="4" applyFont="1" applyFill="1" applyBorder="1" applyAlignment="1">
      <alignment horizontal="center" vertical="center"/>
    </xf>
    <xf numFmtId="0" fontId="9" fillId="3" borderId="19" xfId="4" applyFont="1" applyFill="1" applyBorder="1" applyAlignment="1">
      <alignment horizontal="left" vertical="center"/>
    </xf>
    <xf numFmtId="165" fontId="9" fillId="3" borderId="19" xfId="2" applyFont="1" applyFill="1" applyBorder="1" applyAlignment="1" applyProtection="1">
      <alignment horizontal="center" vertical="center"/>
    </xf>
    <xf numFmtId="0" fontId="9" fillId="3" borderId="20" xfId="4" applyFont="1" applyFill="1" applyBorder="1" applyAlignment="1">
      <alignment horizontal="left" vertical="center"/>
    </xf>
    <xf numFmtId="0" fontId="9" fillId="3" borderId="0" xfId="4" applyFont="1" applyFill="1" applyAlignment="1">
      <alignment horizontal="center"/>
    </xf>
    <xf numFmtId="165" fontId="9" fillId="3" borderId="2" xfId="4" applyNumberFormat="1" applyFont="1" applyFill="1" applyBorder="1"/>
    <xf numFmtId="165" fontId="9" fillId="3" borderId="2" xfId="4" applyNumberFormat="1" applyFont="1" applyFill="1" applyBorder="1" applyAlignment="1">
      <alignment horizontal="center" vertical="center"/>
    </xf>
    <xf numFmtId="166" fontId="9" fillId="3" borderId="2" xfId="1" applyNumberFormat="1" applyFont="1" applyFill="1" applyBorder="1" applyProtection="1"/>
    <xf numFmtId="166" fontId="10" fillId="6" borderId="2" xfId="1" applyNumberFormat="1" applyFont="1" applyFill="1" applyBorder="1" applyProtection="1"/>
    <xf numFmtId="0" fontId="1" fillId="6" borderId="10" xfId="4" applyFont="1" applyFill="1" applyBorder="1" applyAlignment="1">
      <alignment horizontal="left" vertical="center"/>
    </xf>
    <xf numFmtId="165" fontId="14" fillId="0" borderId="2" xfId="4" applyNumberFormat="1" applyBorder="1"/>
    <xf numFmtId="0" fontId="1" fillId="6" borderId="2" xfId="4" applyFont="1" applyFill="1" applyBorder="1" applyAlignment="1">
      <alignment horizontal="left" vertical="center"/>
    </xf>
    <xf numFmtId="0" fontId="1" fillId="0" borderId="21" xfId="4" applyFont="1" applyBorder="1" applyAlignment="1">
      <alignment horizontal="left" vertical="center"/>
    </xf>
    <xf numFmtId="0" fontId="1" fillId="2" borderId="22" xfId="4" applyFont="1" applyFill="1" applyBorder="1" applyAlignment="1">
      <alignment horizontal="center" vertical="center"/>
    </xf>
    <xf numFmtId="0" fontId="1" fillId="6" borderId="15" xfId="4" applyFont="1" applyFill="1" applyBorder="1" applyAlignment="1">
      <alignment horizontal="left" vertical="center"/>
    </xf>
    <xf numFmtId="0" fontId="1" fillId="0" borderId="23" xfId="4" applyFont="1" applyBorder="1" applyAlignment="1">
      <alignment horizontal="left" vertical="center"/>
    </xf>
    <xf numFmtId="0" fontId="3" fillId="3" borderId="12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3" fillId="3" borderId="19" xfId="4" applyFont="1" applyFill="1" applyBorder="1" applyAlignment="1">
      <alignment horizontal="center" vertical="center"/>
    </xf>
    <xf numFmtId="0" fontId="3" fillId="3" borderId="19" xfId="4" applyFont="1" applyFill="1" applyBorder="1" applyAlignment="1">
      <alignment horizontal="left" vertical="center"/>
    </xf>
    <xf numFmtId="165" fontId="3" fillId="3" borderId="19" xfId="2" applyFont="1" applyFill="1" applyBorder="1" applyAlignment="1" applyProtection="1">
      <alignment horizontal="center" vertical="center"/>
    </xf>
    <xf numFmtId="0" fontId="3" fillId="3" borderId="20" xfId="4" applyFont="1" applyFill="1" applyBorder="1" applyAlignment="1">
      <alignment horizontal="left" vertical="center"/>
    </xf>
    <xf numFmtId="0" fontId="12" fillId="3" borderId="0" xfId="4" applyFont="1" applyFill="1" applyAlignment="1">
      <alignment horizontal="center"/>
    </xf>
    <xf numFmtId="165" fontId="12" fillId="3" borderId="2" xfId="4" applyNumberFormat="1" applyFont="1" applyFill="1" applyBorder="1"/>
    <xf numFmtId="165" fontId="12" fillId="3" borderId="2" xfId="4" applyNumberFormat="1" applyFont="1" applyFill="1" applyBorder="1" applyAlignment="1">
      <alignment horizontal="center" vertical="center"/>
    </xf>
    <xf numFmtId="166" fontId="12" fillId="3" borderId="2" xfId="1" applyNumberFormat="1" applyFont="1" applyFill="1" applyBorder="1" applyProtection="1"/>
    <xf numFmtId="166" fontId="12" fillId="6" borderId="2" xfId="1" applyNumberFormat="1" applyFont="1" applyFill="1" applyBorder="1" applyProtection="1"/>
    <xf numFmtId="0" fontId="1" fillId="0" borderId="2" xfId="4" applyFont="1" applyBorder="1" applyAlignment="1">
      <alignment vertical="center"/>
    </xf>
    <xf numFmtId="0" fontId="1" fillId="6" borderId="2" xfId="4" applyFont="1" applyFill="1" applyBorder="1" applyAlignment="1">
      <alignment vertical="center"/>
    </xf>
    <xf numFmtId="0" fontId="1" fillId="0" borderId="21" xfId="4" applyFont="1" applyBorder="1" applyAlignment="1">
      <alignment vertical="center"/>
    </xf>
    <xf numFmtId="0" fontId="1" fillId="7" borderId="2" xfId="4" applyFont="1" applyFill="1" applyBorder="1" applyAlignment="1">
      <alignment vertical="center"/>
    </xf>
    <xf numFmtId="0" fontId="1" fillId="0" borderId="15" xfId="4" applyFont="1" applyBorder="1" applyAlignment="1">
      <alignment vertical="center"/>
    </xf>
    <xf numFmtId="0" fontId="1" fillId="7" borderId="15" xfId="4" applyFont="1" applyFill="1" applyBorder="1" applyAlignment="1">
      <alignment vertical="center"/>
    </xf>
    <xf numFmtId="0" fontId="1" fillId="0" borderId="23" xfId="4" applyFont="1" applyBorder="1" applyAlignment="1">
      <alignment vertical="center"/>
    </xf>
    <xf numFmtId="0" fontId="3" fillId="3" borderId="18" xfId="4" applyFont="1" applyFill="1" applyBorder="1" applyAlignment="1">
      <alignment horizontal="center" vertical="center"/>
    </xf>
    <xf numFmtId="0" fontId="11" fillId="3" borderId="7" xfId="4" applyFont="1" applyFill="1" applyBorder="1" applyAlignment="1">
      <alignment horizontal="center" vertical="center"/>
    </xf>
    <xf numFmtId="0" fontId="3" fillId="3" borderId="19" xfId="4" applyFont="1" applyFill="1" applyBorder="1" applyAlignment="1">
      <alignment vertical="center"/>
    </xf>
    <xf numFmtId="0" fontId="3" fillId="3" borderId="20" xfId="4" applyFont="1" applyFill="1" applyBorder="1" applyAlignment="1">
      <alignment vertical="center"/>
    </xf>
    <xf numFmtId="0" fontId="1" fillId="0" borderId="10" xfId="4" applyFont="1" applyBorder="1" applyAlignment="1">
      <alignment vertical="center"/>
    </xf>
    <xf numFmtId="0" fontId="1" fillId="7" borderId="10" xfId="4" applyFont="1" applyFill="1" applyBorder="1" applyAlignment="1">
      <alignment vertical="center"/>
    </xf>
    <xf numFmtId="0" fontId="1" fillId="0" borderId="11" xfId="4" applyFont="1" applyBorder="1" applyAlignment="1">
      <alignment vertical="center"/>
    </xf>
    <xf numFmtId="0" fontId="1" fillId="0" borderId="24" xfId="4" applyFont="1" applyBorder="1" applyAlignment="1">
      <alignment horizontal="center" vertical="center"/>
    </xf>
    <xf numFmtId="0" fontId="1" fillId="0" borderId="19" xfId="4" applyFont="1" applyBorder="1" applyAlignment="1">
      <alignment horizontal="center" vertical="center"/>
    </xf>
    <xf numFmtId="0" fontId="3" fillId="3" borderId="22" xfId="4" applyFont="1" applyFill="1" applyBorder="1" applyAlignment="1">
      <alignment horizontal="center" vertical="center"/>
    </xf>
    <xf numFmtId="0" fontId="11" fillId="3" borderId="16" xfId="4" applyFont="1" applyFill="1" applyBorder="1" applyAlignment="1">
      <alignment horizontal="center" vertical="center"/>
    </xf>
    <xf numFmtId="0" fontId="3" fillId="3" borderId="16" xfId="4" applyFont="1" applyFill="1" applyBorder="1" applyAlignment="1">
      <alignment horizontal="center" vertical="center"/>
    </xf>
    <xf numFmtId="0" fontId="3" fillId="3" borderId="16" xfId="4" applyFont="1" applyFill="1" applyBorder="1" applyAlignment="1">
      <alignment vertical="center"/>
    </xf>
    <xf numFmtId="165" fontId="3" fillId="3" borderId="16" xfId="2" applyFont="1" applyFill="1" applyBorder="1" applyAlignment="1" applyProtection="1">
      <alignment horizontal="center" vertical="center"/>
    </xf>
    <xf numFmtId="0" fontId="3" fillId="3" borderId="17" xfId="4" applyFont="1" applyFill="1" applyBorder="1" applyAlignment="1">
      <alignment vertical="center"/>
    </xf>
    <xf numFmtId="0" fontId="1" fillId="2" borderId="25" xfId="4" applyFont="1" applyFill="1" applyBorder="1" applyAlignment="1">
      <alignment horizontal="center" vertical="center"/>
    </xf>
    <xf numFmtId="165" fontId="1" fillId="0" borderId="24" xfId="2" applyFont="1" applyBorder="1" applyAlignment="1" applyProtection="1">
      <alignment horizontal="center" vertical="center"/>
    </xf>
    <xf numFmtId="0" fontId="1" fillId="6" borderId="24" xfId="4" applyFont="1" applyFill="1" applyBorder="1" applyAlignment="1">
      <alignment vertical="center"/>
    </xf>
    <xf numFmtId="0" fontId="1" fillId="0" borderId="26" xfId="4" applyFont="1" applyBorder="1" applyAlignment="1">
      <alignment vertical="center"/>
    </xf>
    <xf numFmtId="0" fontId="3" fillId="3" borderId="9" xfId="4" applyFont="1" applyFill="1" applyBorder="1" applyAlignment="1">
      <alignment horizontal="center" vertical="center"/>
    </xf>
    <xf numFmtId="0" fontId="3" fillId="3" borderId="27" xfId="4" applyFont="1" applyFill="1" applyBorder="1" applyAlignment="1">
      <alignment horizontal="center" vertical="center"/>
    </xf>
    <xf numFmtId="0" fontId="3" fillId="3" borderId="27" xfId="4" applyFont="1" applyFill="1" applyBorder="1" applyAlignment="1">
      <alignment vertical="center"/>
    </xf>
    <xf numFmtId="165" fontId="3" fillId="3" borderId="27" xfId="2" applyFont="1" applyFill="1" applyBorder="1" applyAlignment="1" applyProtection="1">
      <alignment horizontal="center" vertical="center"/>
    </xf>
    <xf numFmtId="0" fontId="3" fillId="3" borderId="28" xfId="4" applyFont="1" applyFill="1" applyBorder="1" applyAlignment="1">
      <alignment vertical="center"/>
    </xf>
    <xf numFmtId="0" fontId="1" fillId="6" borderId="10" xfId="4" applyFont="1" applyFill="1" applyBorder="1" applyAlignment="1">
      <alignment vertical="center"/>
    </xf>
    <xf numFmtId="0" fontId="1" fillId="6" borderId="15" xfId="4" applyFont="1" applyFill="1" applyBorder="1" applyAlignment="1">
      <alignment vertical="center"/>
    </xf>
    <xf numFmtId="166" fontId="14" fillId="0" borderId="1" xfId="1" applyNumberFormat="1" applyBorder="1" applyProtection="1"/>
    <xf numFmtId="166" fontId="14" fillId="0" borderId="29" xfId="1" applyNumberFormat="1" applyBorder="1" applyProtection="1"/>
    <xf numFmtId="166" fontId="14" fillId="0" borderId="30" xfId="1" applyNumberFormat="1" applyBorder="1" applyProtection="1"/>
    <xf numFmtId="0" fontId="1" fillId="0" borderId="13" xfId="4" applyFont="1" applyBorder="1" applyAlignment="1">
      <alignment horizontal="center" vertical="center"/>
    </xf>
    <xf numFmtId="165" fontId="13" fillId="0" borderId="13" xfId="2" applyFont="1" applyBorder="1" applyAlignment="1" applyProtection="1">
      <alignment horizontal="center" vertical="center"/>
    </xf>
    <xf numFmtId="0" fontId="1" fillId="0" borderId="13" xfId="4" applyFont="1" applyBorder="1" applyAlignment="1">
      <alignment vertical="center"/>
    </xf>
    <xf numFmtId="0" fontId="1" fillId="2" borderId="1" xfId="4" applyFont="1" applyFill="1" applyBorder="1" applyAlignment="1">
      <alignment horizontal="center" vertical="center"/>
    </xf>
    <xf numFmtId="49" fontId="2" fillId="3" borderId="2" xfId="4" applyNumberFormat="1" applyFont="1" applyFill="1" applyBorder="1" applyAlignment="1">
      <alignment horizontal="center"/>
    </xf>
    <xf numFmtId="0" fontId="3" fillId="4" borderId="3" xfId="4" applyFont="1" applyFill="1" applyBorder="1" applyAlignment="1">
      <alignment horizontal="center" vertical="center"/>
    </xf>
    <xf numFmtId="1" fontId="3" fillId="4" borderId="3" xfId="4" applyNumberFormat="1" applyFont="1" applyFill="1" applyBorder="1" applyAlignment="1">
      <alignment horizontal="center" vertical="center"/>
    </xf>
    <xf numFmtId="0" fontId="3" fillId="4" borderId="3" xfId="4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center" vertical="center"/>
    </xf>
    <xf numFmtId="166" fontId="5" fillId="6" borderId="5" xfId="1" applyNumberFormat="1" applyFont="1" applyFill="1" applyBorder="1" applyAlignment="1" applyProtection="1">
      <alignment horizontal="center" vertical="center"/>
    </xf>
    <xf numFmtId="165" fontId="1" fillId="0" borderId="2" xfId="4" applyNumberFormat="1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4" fillId="5" borderId="2" xfId="4" applyFont="1" applyFill="1" applyBorder="1" applyAlignment="1">
      <alignment horizontal="center" vertical="center"/>
    </xf>
    <xf numFmtId="166" fontId="3" fillId="5" borderId="4" xfId="1" applyNumberFormat="1" applyFont="1" applyFill="1" applyBorder="1" applyAlignment="1" applyProtection="1">
      <alignment horizontal="center"/>
    </xf>
    <xf numFmtId="0" fontId="8" fillId="0" borderId="10" xfId="4" applyFont="1" applyBorder="1" applyAlignment="1">
      <alignment horizontal="center" vertical="center"/>
    </xf>
    <xf numFmtId="0" fontId="1" fillId="0" borderId="10" xfId="4" applyFont="1" applyBorder="1" applyAlignment="1">
      <alignment horizontal="center" vertical="center"/>
    </xf>
    <xf numFmtId="165" fontId="14" fillId="0" borderId="2" xfId="4" applyNumberForma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0" fontId="1" fillId="0" borderId="2" xfId="4" applyFont="1" applyBorder="1" applyAlignment="1">
      <alignment horizontal="center" vertical="center"/>
    </xf>
    <xf numFmtId="0" fontId="8" fillId="0" borderId="24" xfId="4" applyFont="1" applyBorder="1" applyAlignment="1">
      <alignment horizontal="center" vertical="center"/>
    </xf>
    <xf numFmtId="0" fontId="1" fillId="0" borderId="24" xfId="4" applyFont="1" applyBorder="1" applyAlignment="1">
      <alignment horizontal="center" vertical="center"/>
    </xf>
    <xf numFmtId="0" fontId="1" fillId="2" borderId="13" xfId="4" applyFont="1" applyFill="1" applyBorder="1" applyAlignment="1">
      <alignment horizontal="center" vertical="center"/>
    </xf>
    <xf numFmtId="0" fontId="1" fillId="2" borderId="25" xfId="4" applyFont="1" applyFill="1" applyBorder="1" applyAlignment="1">
      <alignment horizontal="center" vertical="center"/>
    </xf>
  </cellXfs>
  <cellStyles count="5">
    <cellStyle name="Comma [0] 2" xfId="2" xr:uid="{00000000-0005-0000-0000-000007000000}"/>
    <cellStyle name="Comma 2" xfId="1" xr:uid="{00000000-0005-0000-0000-000006000000}"/>
    <cellStyle name="Normal" xfId="0" builtinId="0"/>
    <cellStyle name="Normal 2" xfId="3" xr:uid="{00000000-0005-0000-0000-000008000000}"/>
    <cellStyle name="Normal 2 2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CC2E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onoco-my.sharepoint.com/personal/mulyanto_djuhardi_sonoco_com/Documents/Documents/Trucking%20Cs%20n%20Whouse/WHouse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urity"/>
      <sheetName val="No Truck"/>
      <sheetName val="WHouse"/>
      <sheetName val="MonitorWhs"/>
      <sheetName val="CS"/>
      <sheetName val="Data"/>
      <sheetName val="Weight tolerance"/>
      <sheetName val="CS Form"/>
    </sheetNames>
    <sheetDataSet>
      <sheetData sheetId="0"/>
      <sheetData sheetId="1"/>
      <sheetData sheetId="2">
        <row r="4">
          <cell r="B4">
            <v>1</v>
          </cell>
          <cell r="C4" t="str">
            <v>45882-1</v>
          </cell>
          <cell r="D4" t="str">
            <v>B 2002 RI</v>
          </cell>
          <cell r="E4">
            <v>90</v>
          </cell>
          <cell r="F4">
            <v>2641.5</v>
          </cell>
          <cell r="G4" t="str">
            <v>Finish</v>
          </cell>
        </row>
        <row r="5">
          <cell r="B5">
            <v>2</v>
          </cell>
          <cell r="C5" t="str">
            <v>45882-2</v>
          </cell>
          <cell r="D5" t="str">
            <v>B 3003 RI</v>
          </cell>
          <cell r="E5">
            <v>77</v>
          </cell>
          <cell r="F5">
            <v>1987.7840000000001</v>
          </cell>
          <cell r="G5" t="str">
            <v>Finish</v>
          </cell>
        </row>
        <row r="6">
          <cell r="B6">
            <v>3</v>
          </cell>
          <cell r="C6" t="str">
            <v>45882-3</v>
          </cell>
          <cell r="D6" t="str">
            <v>B 1001 RI</v>
          </cell>
          <cell r="E6">
            <v>81</v>
          </cell>
          <cell r="F6">
            <v>2767.2719999999999</v>
          </cell>
          <cell r="G6" t="str">
            <v>Finish</v>
          </cell>
        </row>
        <row r="7">
          <cell r="B7">
            <v>4</v>
          </cell>
          <cell r="C7" t="str">
            <v>45882-4</v>
          </cell>
          <cell r="D7">
            <v>0</v>
          </cell>
        </row>
        <row r="8">
          <cell r="B8">
            <v>5</v>
          </cell>
          <cell r="C8" t="str">
            <v>45882-5</v>
          </cell>
          <cell r="D8">
            <v>0</v>
          </cell>
        </row>
        <row r="9">
          <cell r="B9">
            <v>6</v>
          </cell>
          <cell r="C9" t="str">
            <v>45882-6</v>
          </cell>
          <cell r="D9">
            <v>0</v>
          </cell>
        </row>
        <row r="10">
          <cell r="B10">
            <v>7</v>
          </cell>
          <cell r="C10" t="str">
            <v>45882-7</v>
          </cell>
          <cell r="D10">
            <v>0</v>
          </cell>
        </row>
        <row r="11">
          <cell r="B11">
            <v>8</v>
          </cell>
          <cell r="C11" t="str">
            <v>45882-8</v>
          </cell>
          <cell r="D11">
            <v>0</v>
          </cell>
        </row>
        <row r="12">
          <cell r="B12">
            <v>9</v>
          </cell>
          <cell r="C12" t="str">
            <v>45882-9</v>
          </cell>
          <cell r="D12">
            <v>0</v>
          </cell>
        </row>
        <row r="13">
          <cell r="B13">
            <v>10</v>
          </cell>
          <cell r="C13" t="str">
            <v>45882-10</v>
          </cell>
          <cell r="D13">
            <v>0</v>
          </cell>
        </row>
        <row r="14">
          <cell r="B14">
            <v>11</v>
          </cell>
          <cell r="C14" t="str">
            <v>45882-11</v>
          </cell>
          <cell r="D14">
            <v>0</v>
          </cell>
        </row>
        <row r="15">
          <cell r="B15">
            <v>12</v>
          </cell>
          <cell r="C15" t="str">
            <v>45882-12</v>
          </cell>
          <cell r="D15">
            <v>0</v>
          </cell>
        </row>
        <row r="16">
          <cell r="B16">
            <v>13</v>
          </cell>
          <cell r="C16" t="str">
            <v>45882-13</v>
          </cell>
          <cell r="D16">
            <v>0</v>
          </cell>
        </row>
        <row r="17">
          <cell r="B17">
            <v>14</v>
          </cell>
          <cell r="C17" t="str">
            <v>45882-14</v>
          </cell>
          <cell r="D17">
            <v>0</v>
          </cell>
        </row>
        <row r="18">
          <cell r="B18">
            <v>15</v>
          </cell>
          <cell r="C18" t="str">
            <v>45882-15</v>
          </cell>
          <cell r="D18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76"/>
  <sheetViews>
    <sheetView showGridLines="0" tabSelected="1" view="pageBreakPreview" zoomScale="160" zoomScaleNormal="85" zoomScaleSheetLayoutView="160" workbookViewId="0">
      <selection activeCell="A4" sqref="A4:A5"/>
    </sheetView>
  </sheetViews>
  <sheetFormatPr defaultColWidth="9.140625" defaultRowHeight="15" x14ac:dyDescent="0.25"/>
  <cols>
    <col min="1" max="1" width="11.85546875" style="5" customWidth="1"/>
    <col min="2" max="2" width="24.42578125" style="5" customWidth="1"/>
    <col min="3" max="3" width="10.42578125" style="5" customWidth="1"/>
    <col min="4" max="4" width="12.140625" style="5" customWidth="1"/>
    <col min="5" max="5" width="23.85546875" style="5" customWidth="1"/>
    <col min="6" max="6" width="5.42578125" style="5" customWidth="1"/>
    <col min="7" max="7" width="12.140625" style="5" customWidth="1"/>
    <col min="8" max="8" width="14.5703125" style="5" customWidth="1"/>
    <col min="9" max="9" width="9.140625" style="5"/>
    <col min="10" max="10" width="11.5703125" style="5" customWidth="1"/>
    <col min="11" max="11" width="8.140625" style="5" customWidth="1"/>
    <col min="12" max="13" width="9.85546875" style="5" customWidth="1"/>
    <col min="14" max="14" width="7.140625" style="6" customWidth="1"/>
    <col min="15" max="17" width="9.140625" style="5"/>
    <col min="18" max="20" width="9.140625" style="7"/>
    <col min="21" max="21" width="10.42578125" style="7" customWidth="1"/>
    <col min="22" max="22" width="10.140625" style="7" customWidth="1"/>
    <col min="23" max="16384" width="9.140625" style="5"/>
  </cols>
  <sheetData>
    <row r="1" spans="1:22" ht="15" customHeight="1" x14ac:dyDescent="0.25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22" ht="1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U2" s="7">
        <v>22</v>
      </c>
      <c r="V2" s="7">
        <v>23</v>
      </c>
    </row>
    <row r="3" spans="1:22" ht="15" customHeight="1" x14ac:dyDescent="0.25">
      <c r="A3" s="104" t="s">
        <v>112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/>
      <c r="U3" s="5" t="s">
        <v>0</v>
      </c>
      <c r="V3" s="5" t="s">
        <v>0</v>
      </c>
    </row>
    <row r="4" spans="1:22" ht="15" customHeight="1" x14ac:dyDescent="0.25">
      <c r="A4" s="105" t="s">
        <v>1</v>
      </c>
      <c r="B4" s="106" t="s">
        <v>2</v>
      </c>
      <c r="C4" s="106" t="s">
        <v>3</v>
      </c>
      <c r="D4" s="106" t="s">
        <v>4</v>
      </c>
      <c r="E4" s="107" t="s">
        <v>5</v>
      </c>
      <c r="F4" s="107"/>
      <c r="G4" s="107" t="s">
        <v>6</v>
      </c>
      <c r="H4" s="107" t="s">
        <v>7</v>
      </c>
      <c r="I4" s="107" t="s">
        <v>8</v>
      </c>
      <c r="J4" s="107" t="s">
        <v>9</v>
      </c>
      <c r="K4" s="107" t="s">
        <v>10</v>
      </c>
      <c r="L4" s="107" t="s">
        <v>11</v>
      </c>
      <c r="M4" s="107" t="s">
        <v>12</v>
      </c>
      <c r="N4" s="113" t="s">
        <v>11</v>
      </c>
      <c r="O4" s="107" t="s">
        <v>13</v>
      </c>
      <c r="P4" s="107" t="s">
        <v>14</v>
      </c>
      <c r="Q4" s="107" t="s">
        <v>15</v>
      </c>
      <c r="R4" s="114" t="s">
        <v>16</v>
      </c>
      <c r="S4" s="114"/>
      <c r="T4" s="108" t="s">
        <v>17</v>
      </c>
      <c r="U4" s="108"/>
      <c r="V4" s="109" t="s">
        <v>18</v>
      </c>
    </row>
    <row r="5" spans="1:22" ht="15" customHeight="1" x14ac:dyDescent="0.25">
      <c r="A5" s="105"/>
      <c r="B5" s="105"/>
      <c r="C5" s="106"/>
      <c r="D5" s="106"/>
      <c r="E5" s="8" t="s">
        <v>19</v>
      </c>
      <c r="F5" s="9" t="s">
        <v>20</v>
      </c>
      <c r="G5" s="107"/>
      <c r="H5" s="107"/>
      <c r="I5" s="107"/>
      <c r="J5" s="107"/>
      <c r="K5" s="107"/>
      <c r="L5" s="107"/>
      <c r="M5" s="107"/>
      <c r="N5" s="113"/>
      <c r="O5" s="107"/>
      <c r="P5" s="107"/>
      <c r="Q5" s="107"/>
      <c r="R5" s="10" t="s">
        <v>21</v>
      </c>
      <c r="S5" s="11" t="s">
        <v>22</v>
      </c>
      <c r="T5" s="12" t="s">
        <v>21</v>
      </c>
      <c r="U5" s="12" t="s">
        <v>22</v>
      </c>
      <c r="V5" s="109"/>
    </row>
    <row r="6" spans="1:22" ht="15" customHeight="1" x14ac:dyDescent="0.25">
      <c r="A6" s="13">
        <v>1.1000000000000001</v>
      </c>
      <c r="B6" s="2" t="s">
        <v>111</v>
      </c>
      <c r="C6" s="1" t="s">
        <v>23</v>
      </c>
      <c r="D6" s="1">
        <v>1</v>
      </c>
      <c r="E6" s="1" t="s">
        <v>24</v>
      </c>
      <c r="F6" s="1">
        <v>38</v>
      </c>
      <c r="G6" s="1" t="s">
        <v>25</v>
      </c>
      <c r="H6" s="1" t="s">
        <v>26</v>
      </c>
      <c r="I6" s="15">
        <v>1008</v>
      </c>
      <c r="J6" s="15">
        <f t="shared" ref="J6:J13" si="0">I6*K6</f>
        <v>10080</v>
      </c>
      <c r="K6" s="1">
        <v>10</v>
      </c>
      <c r="L6" s="16" t="s">
        <v>27</v>
      </c>
      <c r="M6" s="17" t="s">
        <v>28</v>
      </c>
      <c r="O6" s="18">
        <f t="shared" ref="O6:O13" si="1">(F6*J6)/1000</f>
        <v>383.04</v>
      </c>
      <c r="P6" s="18">
        <f t="shared" ref="P6:P13" si="2">K6</f>
        <v>10</v>
      </c>
      <c r="Q6" s="110">
        <f>SUM(O6:P13)</f>
        <v>3020.1400000000003</v>
      </c>
      <c r="R6" s="19"/>
      <c r="V6" s="20"/>
    </row>
    <row r="7" spans="1:22" ht="15" customHeight="1" x14ac:dyDescent="0.25">
      <c r="A7" s="21">
        <v>1.2</v>
      </c>
      <c r="B7" s="22" t="s">
        <v>110</v>
      </c>
      <c r="C7" s="23" t="s">
        <v>77</v>
      </c>
      <c r="D7" s="23">
        <v>2</v>
      </c>
      <c r="E7" s="23" t="s">
        <v>31</v>
      </c>
      <c r="F7" s="23">
        <v>36</v>
      </c>
      <c r="G7" s="23" t="s">
        <v>32</v>
      </c>
      <c r="H7" s="23" t="s">
        <v>33</v>
      </c>
      <c r="I7" s="25">
        <v>1024</v>
      </c>
      <c r="J7" s="26">
        <f t="shared" ref="J7" si="3">I7*K7</f>
        <v>10240</v>
      </c>
      <c r="K7" s="23">
        <v>10</v>
      </c>
      <c r="L7" s="27" t="s">
        <v>27</v>
      </c>
      <c r="M7" s="28" t="s">
        <v>28</v>
      </c>
      <c r="O7" s="18">
        <f t="shared" ref="O7" si="4">(F7*J7)/1000</f>
        <v>368.64</v>
      </c>
      <c r="P7" s="18">
        <f t="shared" ref="P7" si="5">K7</f>
        <v>10</v>
      </c>
      <c r="Q7" s="110"/>
      <c r="R7" s="19"/>
      <c r="V7" s="20"/>
    </row>
    <row r="8" spans="1:22" ht="15" customHeight="1" x14ac:dyDescent="0.25">
      <c r="A8" s="21">
        <v>1.2</v>
      </c>
      <c r="B8" s="22" t="s">
        <v>29</v>
      </c>
      <c r="C8" s="23" t="s">
        <v>30</v>
      </c>
      <c r="D8" s="23">
        <v>3</v>
      </c>
      <c r="E8" s="23" t="s">
        <v>31</v>
      </c>
      <c r="F8" s="23">
        <v>36</v>
      </c>
      <c r="G8" s="23" t="s">
        <v>32</v>
      </c>
      <c r="H8" s="23" t="s">
        <v>33</v>
      </c>
      <c r="I8" s="25">
        <v>1024</v>
      </c>
      <c r="J8" s="26">
        <f t="shared" si="0"/>
        <v>10240</v>
      </c>
      <c r="K8" s="23">
        <v>10</v>
      </c>
      <c r="L8" s="27" t="s">
        <v>27</v>
      </c>
      <c r="M8" s="28" t="s">
        <v>28</v>
      </c>
      <c r="O8" s="18">
        <f t="shared" si="1"/>
        <v>368.64</v>
      </c>
      <c r="P8" s="18">
        <f t="shared" si="2"/>
        <v>10</v>
      </c>
      <c r="Q8" s="110"/>
      <c r="R8" s="19"/>
      <c r="V8" s="20"/>
    </row>
    <row r="9" spans="1:22" ht="15" customHeight="1" x14ac:dyDescent="0.25">
      <c r="A9" s="21">
        <v>1.3</v>
      </c>
      <c r="B9" s="111" t="s">
        <v>109</v>
      </c>
      <c r="C9" s="112" t="s">
        <v>23</v>
      </c>
      <c r="D9" s="112">
        <v>2</v>
      </c>
      <c r="E9" s="23" t="s">
        <v>34</v>
      </c>
      <c r="F9" s="23">
        <v>90</v>
      </c>
      <c r="G9" s="23" t="s">
        <v>35</v>
      </c>
      <c r="H9" s="23" t="s">
        <v>36</v>
      </c>
      <c r="I9" s="25">
        <v>390</v>
      </c>
      <c r="J9" s="26">
        <f t="shared" si="0"/>
        <v>3900</v>
      </c>
      <c r="K9" s="23">
        <v>10</v>
      </c>
      <c r="L9" s="27" t="s">
        <v>27</v>
      </c>
      <c r="M9" s="28" t="s">
        <v>28</v>
      </c>
      <c r="O9" s="18">
        <f t="shared" si="1"/>
        <v>351</v>
      </c>
      <c r="P9" s="18">
        <f t="shared" si="2"/>
        <v>10</v>
      </c>
      <c r="Q9" s="110"/>
      <c r="R9" s="19"/>
      <c r="V9" s="20"/>
    </row>
    <row r="10" spans="1:22" ht="15" customHeight="1" x14ac:dyDescent="0.25">
      <c r="A10" s="21">
        <v>1.3</v>
      </c>
      <c r="B10" s="111"/>
      <c r="C10" s="112"/>
      <c r="D10" s="112"/>
      <c r="E10" s="23" t="s">
        <v>34</v>
      </c>
      <c r="F10" s="23">
        <v>90</v>
      </c>
      <c r="G10" s="23" t="s">
        <v>35</v>
      </c>
      <c r="H10" s="23" t="s">
        <v>36</v>
      </c>
      <c r="I10" s="25">
        <v>390</v>
      </c>
      <c r="J10" s="26">
        <f t="shared" si="0"/>
        <v>3900</v>
      </c>
      <c r="K10" s="23">
        <v>10</v>
      </c>
      <c r="L10" s="27" t="s">
        <v>27</v>
      </c>
      <c r="M10" s="28" t="s">
        <v>28</v>
      </c>
      <c r="O10" s="18">
        <f t="shared" si="1"/>
        <v>351</v>
      </c>
      <c r="P10" s="18">
        <f t="shared" si="2"/>
        <v>10</v>
      </c>
      <c r="Q10" s="110"/>
      <c r="R10" s="19"/>
      <c r="V10" s="20"/>
    </row>
    <row r="11" spans="1:22" ht="15" customHeight="1" x14ac:dyDescent="0.25">
      <c r="A11" s="21">
        <v>1.3</v>
      </c>
      <c r="B11" s="111"/>
      <c r="C11" s="112"/>
      <c r="D11" s="112"/>
      <c r="E11" s="23" t="s">
        <v>37</v>
      </c>
      <c r="F11" s="23">
        <v>38</v>
      </c>
      <c r="G11" s="23" t="s">
        <v>38</v>
      </c>
      <c r="H11" s="23" t="s">
        <v>39</v>
      </c>
      <c r="I11" s="25">
        <v>588</v>
      </c>
      <c r="J11" s="26">
        <f t="shared" si="0"/>
        <v>5880</v>
      </c>
      <c r="K11" s="23">
        <v>10</v>
      </c>
      <c r="L11" s="29" t="s">
        <v>27</v>
      </c>
      <c r="M11" s="28" t="s">
        <v>28</v>
      </c>
      <c r="O11" s="18">
        <f t="shared" si="1"/>
        <v>223.44</v>
      </c>
      <c r="P11" s="18">
        <f t="shared" si="2"/>
        <v>10</v>
      </c>
      <c r="Q11" s="110"/>
      <c r="R11" s="19"/>
      <c r="V11" s="20"/>
    </row>
    <row r="12" spans="1:22" ht="15" customHeight="1" x14ac:dyDescent="0.25">
      <c r="A12" s="21">
        <v>1.3</v>
      </c>
      <c r="B12" s="111"/>
      <c r="C12" s="112"/>
      <c r="D12" s="112"/>
      <c r="E12" s="23" t="s">
        <v>40</v>
      </c>
      <c r="F12" s="23">
        <v>38</v>
      </c>
      <c r="G12" s="23" t="s">
        <v>41</v>
      </c>
      <c r="H12" s="23" t="s">
        <v>42</v>
      </c>
      <c r="I12" s="25">
        <v>537</v>
      </c>
      <c r="J12" s="26">
        <f t="shared" si="0"/>
        <v>5370</v>
      </c>
      <c r="K12" s="23">
        <v>10</v>
      </c>
      <c r="L12" s="29" t="s">
        <v>27</v>
      </c>
      <c r="M12" s="28" t="s">
        <v>28</v>
      </c>
      <c r="O12" s="18">
        <f t="shared" si="1"/>
        <v>204.06</v>
      </c>
      <c r="P12" s="18">
        <f t="shared" si="2"/>
        <v>10</v>
      </c>
      <c r="Q12" s="110"/>
      <c r="R12" s="19"/>
      <c r="V12" s="20"/>
    </row>
    <row r="13" spans="1:22" ht="15" customHeight="1" x14ac:dyDescent="0.25">
      <c r="A13" s="21">
        <v>1.3</v>
      </c>
      <c r="B13" s="111"/>
      <c r="C13" s="112"/>
      <c r="D13" s="112"/>
      <c r="E13" s="3" t="s">
        <v>37</v>
      </c>
      <c r="F13" s="3">
        <v>38</v>
      </c>
      <c r="G13" s="3" t="s">
        <v>43</v>
      </c>
      <c r="H13" s="3" t="s">
        <v>44</v>
      </c>
      <c r="I13" s="30">
        <v>588</v>
      </c>
      <c r="J13" s="31">
        <f t="shared" si="0"/>
        <v>17640</v>
      </c>
      <c r="K13" s="3">
        <v>30</v>
      </c>
      <c r="L13" s="32" t="s">
        <v>27</v>
      </c>
      <c r="M13" s="33" t="s">
        <v>28</v>
      </c>
      <c r="O13" s="18">
        <f t="shared" si="1"/>
        <v>670.32</v>
      </c>
      <c r="P13" s="18">
        <f t="shared" si="2"/>
        <v>30</v>
      </c>
      <c r="Q13" s="110"/>
      <c r="R13" s="19"/>
      <c r="V13" s="20"/>
    </row>
    <row r="14" spans="1:22" ht="15" customHeight="1" x14ac:dyDescent="0.25">
      <c r="A14" s="34">
        <v>1</v>
      </c>
      <c r="B14" s="35"/>
      <c r="C14" s="36"/>
      <c r="D14" s="37"/>
      <c r="E14" s="37"/>
      <c r="F14" s="37"/>
      <c r="G14" s="37"/>
      <c r="H14" s="37"/>
      <c r="I14" s="39"/>
      <c r="J14" s="39"/>
      <c r="K14" s="37">
        <f>SUM(K6:K13)</f>
        <v>100</v>
      </c>
      <c r="L14" s="38"/>
      <c r="M14" s="40"/>
      <c r="N14" s="41" t="str">
        <f>IFERROR(VLOOKUP(A14,[1]WHouse!$B$4:$G$18,6,0),"")</f>
        <v>Finish</v>
      </c>
      <c r="O14" s="42">
        <f>SUM(O6:O13)</f>
        <v>2920.1400000000003</v>
      </c>
      <c r="P14" s="42">
        <f>SUM(P6:P13)</f>
        <v>100</v>
      </c>
      <c r="Q14" s="43">
        <f>SUM(O14:P14)</f>
        <v>3020.1400000000003</v>
      </c>
      <c r="R14" s="44">
        <f>Q14-(Q14*0.04)</f>
        <v>2899.3344000000002</v>
      </c>
      <c r="S14" s="44">
        <f>Q14+(Q14*0.04)</f>
        <v>3140.9456000000005</v>
      </c>
      <c r="T14" s="44">
        <f>R14-(0.06*R14)</f>
        <v>2725.3743360000003</v>
      </c>
      <c r="U14" s="44">
        <f>S14+(0.06*S14)</f>
        <v>3329.4023360000006</v>
      </c>
      <c r="V14" s="45">
        <f>S14+(0.1*S14)</f>
        <v>3455.0401600000005</v>
      </c>
    </row>
    <row r="15" spans="1:22" ht="15" customHeight="1" x14ac:dyDescent="0.25">
      <c r="A15" s="13">
        <v>2.1</v>
      </c>
      <c r="B15" s="115" t="s">
        <v>45</v>
      </c>
      <c r="C15" s="116" t="s">
        <v>46</v>
      </c>
      <c r="D15" s="116">
        <v>1</v>
      </c>
      <c r="E15" s="1" t="s">
        <v>47</v>
      </c>
      <c r="F15" s="1">
        <v>13</v>
      </c>
      <c r="G15" s="1" t="s">
        <v>48</v>
      </c>
      <c r="H15" s="1" t="s">
        <v>49</v>
      </c>
      <c r="I15" s="15">
        <v>3024</v>
      </c>
      <c r="J15" s="15">
        <f t="shared" ref="J15:J20" si="6">I15*K15</f>
        <v>12096</v>
      </c>
      <c r="K15" s="1">
        <v>4</v>
      </c>
      <c r="L15" s="46" t="s">
        <v>50</v>
      </c>
      <c r="M15" s="17" t="s">
        <v>51</v>
      </c>
      <c r="O15" s="47">
        <f t="shared" ref="O15:O20" si="7">(F15*J15)/1000</f>
        <v>157.24799999999999</v>
      </c>
      <c r="P15" s="47">
        <f t="shared" ref="P15:P20" si="8">K15</f>
        <v>4</v>
      </c>
      <c r="Q15" s="117">
        <f>SUM(O15:P20)</f>
        <v>1987.7840000000001</v>
      </c>
      <c r="R15" s="19"/>
      <c r="V15" s="20"/>
    </row>
    <row r="16" spans="1:22" ht="15" customHeight="1" x14ac:dyDescent="0.25">
      <c r="A16" s="21">
        <v>2.1</v>
      </c>
      <c r="B16" s="115"/>
      <c r="C16" s="116"/>
      <c r="D16" s="116"/>
      <c r="E16" s="23" t="s">
        <v>34</v>
      </c>
      <c r="F16" s="23">
        <v>13</v>
      </c>
      <c r="G16" s="23" t="s">
        <v>48</v>
      </c>
      <c r="H16" s="23" t="s">
        <v>49</v>
      </c>
      <c r="I16" s="25">
        <v>3024</v>
      </c>
      <c r="J16" s="26">
        <f t="shared" si="6"/>
        <v>9072</v>
      </c>
      <c r="K16" s="23">
        <v>3</v>
      </c>
      <c r="L16" s="48" t="s">
        <v>50</v>
      </c>
      <c r="M16" s="49" t="s">
        <v>51</v>
      </c>
      <c r="O16" s="47">
        <f t="shared" si="7"/>
        <v>117.93600000000001</v>
      </c>
      <c r="P16" s="47">
        <f t="shared" si="8"/>
        <v>3</v>
      </c>
      <c r="Q16" s="117"/>
      <c r="R16" s="19"/>
      <c r="V16" s="20"/>
    </row>
    <row r="17" spans="1:22" ht="15" customHeight="1" x14ac:dyDescent="0.25">
      <c r="A17" s="21">
        <v>2.2000000000000002</v>
      </c>
      <c r="B17" s="111" t="s">
        <v>52</v>
      </c>
      <c r="C17" s="112" t="s">
        <v>53</v>
      </c>
      <c r="D17" s="112">
        <v>2</v>
      </c>
      <c r="E17" s="23" t="s">
        <v>31</v>
      </c>
      <c r="F17" s="23">
        <v>40</v>
      </c>
      <c r="G17" s="23" t="s">
        <v>43</v>
      </c>
      <c r="H17" s="23" t="s">
        <v>54</v>
      </c>
      <c r="I17" s="25">
        <v>1014</v>
      </c>
      <c r="J17" s="26">
        <f t="shared" si="6"/>
        <v>10140</v>
      </c>
      <c r="K17" s="23">
        <v>10</v>
      </c>
      <c r="L17" s="48" t="s">
        <v>50</v>
      </c>
      <c r="M17" s="49" t="s">
        <v>51</v>
      </c>
      <c r="O17" s="47">
        <f t="shared" si="7"/>
        <v>405.6</v>
      </c>
      <c r="P17" s="47">
        <f t="shared" si="8"/>
        <v>10</v>
      </c>
      <c r="Q17" s="117"/>
      <c r="R17" s="19"/>
      <c r="V17" s="20"/>
    </row>
    <row r="18" spans="1:22" ht="15" customHeight="1" x14ac:dyDescent="0.25">
      <c r="A18" s="21">
        <v>2.2000000000000002</v>
      </c>
      <c r="B18" s="111"/>
      <c r="C18" s="112"/>
      <c r="D18" s="112"/>
      <c r="E18" s="23" t="s">
        <v>55</v>
      </c>
      <c r="F18" s="23">
        <v>50</v>
      </c>
      <c r="G18" s="23" t="s">
        <v>48</v>
      </c>
      <c r="H18" s="23" t="s">
        <v>56</v>
      </c>
      <c r="I18" s="25">
        <v>410</v>
      </c>
      <c r="J18" s="26">
        <f t="shared" si="6"/>
        <v>1640</v>
      </c>
      <c r="K18" s="23">
        <v>4</v>
      </c>
      <c r="L18" s="48" t="s">
        <v>50</v>
      </c>
      <c r="M18" s="49" t="s">
        <v>51</v>
      </c>
      <c r="O18" s="47">
        <f t="shared" si="7"/>
        <v>82</v>
      </c>
      <c r="P18" s="47">
        <f t="shared" si="8"/>
        <v>4</v>
      </c>
      <c r="Q18" s="117"/>
      <c r="R18" s="19"/>
      <c r="V18" s="20"/>
    </row>
    <row r="19" spans="1:22" ht="15" customHeight="1" x14ac:dyDescent="0.25">
      <c r="A19" s="21">
        <v>2.2000000000000002</v>
      </c>
      <c r="B19" s="111"/>
      <c r="C19" s="112"/>
      <c r="D19" s="112"/>
      <c r="E19" s="23" t="s">
        <v>55</v>
      </c>
      <c r="F19" s="23">
        <v>50</v>
      </c>
      <c r="G19" s="23" t="s">
        <v>25</v>
      </c>
      <c r="H19" s="23" t="s">
        <v>26</v>
      </c>
      <c r="I19" s="25">
        <v>410</v>
      </c>
      <c r="J19" s="26">
        <f t="shared" si="6"/>
        <v>8200</v>
      </c>
      <c r="K19" s="23">
        <v>20</v>
      </c>
      <c r="L19" s="48" t="s">
        <v>50</v>
      </c>
      <c r="M19" s="49" t="s">
        <v>51</v>
      </c>
      <c r="O19" s="47">
        <f t="shared" si="7"/>
        <v>410</v>
      </c>
      <c r="P19" s="47">
        <f t="shared" si="8"/>
        <v>20</v>
      </c>
      <c r="Q19" s="117"/>
      <c r="R19" s="19"/>
      <c r="V19" s="20"/>
    </row>
    <row r="20" spans="1:22" ht="15" customHeight="1" x14ac:dyDescent="0.25">
      <c r="A20" s="50">
        <v>2.2000000000000002</v>
      </c>
      <c r="B20" s="111"/>
      <c r="C20" s="112"/>
      <c r="D20" s="112"/>
      <c r="E20" s="3" t="s">
        <v>55</v>
      </c>
      <c r="F20" s="3">
        <v>50</v>
      </c>
      <c r="G20" s="3" t="s">
        <v>48</v>
      </c>
      <c r="H20" s="3" t="s">
        <v>56</v>
      </c>
      <c r="I20" s="30">
        <v>410</v>
      </c>
      <c r="J20" s="31">
        <f t="shared" si="6"/>
        <v>14760</v>
      </c>
      <c r="K20" s="3">
        <v>36</v>
      </c>
      <c r="L20" s="51" t="s">
        <v>50</v>
      </c>
      <c r="M20" s="52" t="s">
        <v>51</v>
      </c>
      <c r="O20" s="47">
        <f t="shared" si="7"/>
        <v>738</v>
      </c>
      <c r="P20" s="47">
        <f t="shared" si="8"/>
        <v>36</v>
      </c>
      <c r="Q20" s="117"/>
      <c r="R20" s="19"/>
      <c r="V20" s="20"/>
    </row>
    <row r="21" spans="1:22" ht="15" customHeight="1" x14ac:dyDescent="0.25">
      <c r="A21" s="53">
        <v>2</v>
      </c>
      <c r="B21" s="54"/>
      <c r="C21" s="55"/>
      <c r="D21" s="55"/>
      <c r="E21" s="55"/>
      <c r="F21" s="55"/>
      <c r="G21" s="55"/>
      <c r="H21" s="55"/>
      <c r="I21" s="57"/>
      <c r="J21" s="57"/>
      <c r="K21" s="55">
        <f>SUM(K15:K20)</f>
        <v>77</v>
      </c>
      <c r="L21" s="56"/>
      <c r="M21" s="58"/>
      <c r="N21" s="59" t="str">
        <f>IFERROR(VLOOKUP(A21,[1]WHouse!$B$4:$G$18,6,0),"")</f>
        <v>Finish</v>
      </c>
      <c r="O21" s="60">
        <f>SUM(O15:O20)</f>
        <v>1910.7840000000001</v>
      </c>
      <c r="P21" s="60">
        <f>SUM(P15:P20)</f>
        <v>77</v>
      </c>
      <c r="Q21" s="61">
        <f>SUM(O21:P21)</f>
        <v>1987.7840000000001</v>
      </c>
      <c r="R21" s="62">
        <f>Q21-(Q21*0.04)</f>
        <v>1908.2726400000001</v>
      </c>
      <c r="S21" s="62">
        <f>Q21+(Q21*0.04)</f>
        <v>2067.2953600000001</v>
      </c>
      <c r="T21" s="44">
        <f>R21-(0.06*R21)</f>
        <v>1793.7762816000002</v>
      </c>
      <c r="U21" s="62">
        <f>S21+(0.06*S21)</f>
        <v>2191.3330816000002</v>
      </c>
      <c r="V21" s="63">
        <f>S21+(0.1*S21)</f>
        <v>2274.0248959999999</v>
      </c>
    </row>
    <row r="22" spans="1:22" x14ac:dyDescent="0.25">
      <c r="A22" s="13">
        <v>3.2</v>
      </c>
      <c r="B22" s="2" t="s">
        <v>57</v>
      </c>
      <c r="C22" s="1" t="s">
        <v>46</v>
      </c>
      <c r="D22" s="1">
        <v>2</v>
      </c>
      <c r="E22" s="1" t="s">
        <v>34</v>
      </c>
      <c r="F22" s="1">
        <v>30</v>
      </c>
      <c r="G22" s="1" t="s">
        <v>25</v>
      </c>
      <c r="H22" s="1" t="s">
        <v>26</v>
      </c>
      <c r="I22" s="15">
        <v>500</v>
      </c>
      <c r="J22" s="15">
        <f t="shared" ref="J22:J27" si="9">I22*K22</f>
        <v>10000</v>
      </c>
      <c r="K22" s="1">
        <v>20</v>
      </c>
      <c r="L22" s="46" t="s">
        <v>50</v>
      </c>
      <c r="M22" s="17" t="s">
        <v>51</v>
      </c>
      <c r="O22" s="47">
        <f t="shared" ref="O22:O27" si="10">(F22*J22)/1000</f>
        <v>300</v>
      </c>
      <c r="P22" s="47">
        <f t="shared" ref="P22:P27" si="11">K22</f>
        <v>20</v>
      </c>
      <c r="Q22" s="117">
        <f>SUM(O22:P27)</f>
        <v>2767.2719999999999</v>
      </c>
      <c r="R22" s="19"/>
      <c r="V22" s="20"/>
    </row>
    <row r="23" spans="1:22" x14ac:dyDescent="0.25">
      <c r="A23" s="21">
        <v>3.1</v>
      </c>
      <c r="B23" s="111" t="s">
        <v>58</v>
      </c>
      <c r="C23" s="112" t="s">
        <v>59</v>
      </c>
      <c r="D23" s="112">
        <v>1</v>
      </c>
      <c r="E23" s="23" t="s">
        <v>34</v>
      </c>
      <c r="F23" s="23">
        <v>28</v>
      </c>
      <c r="G23" s="23" t="s">
        <v>60</v>
      </c>
      <c r="H23" s="23" t="s">
        <v>33</v>
      </c>
      <c r="I23" s="25">
        <v>1224</v>
      </c>
      <c r="J23" s="26">
        <f t="shared" si="9"/>
        <v>1224</v>
      </c>
      <c r="K23" s="23">
        <v>1</v>
      </c>
      <c r="L23" s="29" t="s">
        <v>61</v>
      </c>
      <c r="M23" s="49" t="s">
        <v>51</v>
      </c>
      <c r="O23" s="47">
        <f t="shared" si="10"/>
        <v>34.271999999999998</v>
      </c>
      <c r="P23" s="47">
        <f t="shared" si="11"/>
        <v>1</v>
      </c>
      <c r="Q23" s="117"/>
      <c r="R23" s="19"/>
      <c r="V23" s="20"/>
    </row>
    <row r="24" spans="1:22" x14ac:dyDescent="0.25">
      <c r="A24" s="21">
        <v>3.1</v>
      </c>
      <c r="B24" s="111"/>
      <c r="C24" s="112"/>
      <c r="D24" s="112"/>
      <c r="E24" s="23" t="s">
        <v>40</v>
      </c>
      <c r="F24" s="23">
        <v>40</v>
      </c>
      <c r="G24" s="23" t="s">
        <v>62</v>
      </c>
      <c r="H24" s="23" t="s">
        <v>33</v>
      </c>
      <c r="I24" s="25">
        <v>980</v>
      </c>
      <c r="J24" s="26">
        <f t="shared" si="9"/>
        <v>31360</v>
      </c>
      <c r="K24" s="23">
        <v>32</v>
      </c>
      <c r="L24" s="48" t="s">
        <v>50</v>
      </c>
      <c r="M24" s="49" t="s">
        <v>51</v>
      </c>
      <c r="O24" s="47">
        <f t="shared" si="10"/>
        <v>1254.4000000000001</v>
      </c>
      <c r="P24" s="47">
        <f t="shared" si="11"/>
        <v>32</v>
      </c>
      <c r="Q24" s="117"/>
      <c r="R24" s="19"/>
      <c r="V24" s="20"/>
    </row>
    <row r="25" spans="1:22" x14ac:dyDescent="0.25">
      <c r="A25" s="21">
        <v>3.1</v>
      </c>
      <c r="B25" s="111"/>
      <c r="C25" s="112"/>
      <c r="D25" s="112"/>
      <c r="E25" s="23" t="s">
        <v>37</v>
      </c>
      <c r="F25" s="23">
        <v>40</v>
      </c>
      <c r="G25" s="23" t="s">
        <v>38</v>
      </c>
      <c r="H25" s="23" t="s">
        <v>63</v>
      </c>
      <c r="I25" s="25">
        <v>980</v>
      </c>
      <c r="J25" s="26">
        <f t="shared" si="9"/>
        <v>5880</v>
      </c>
      <c r="K25" s="23">
        <v>6</v>
      </c>
      <c r="L25" s="48" t="s">
        <v>50</v>
      </c>
      <c r="M25" s="49" t="s">
        <v>51</v>
      </c>
      <c r="O25" s="47">
        <f t="shared" si="10"/>
        <v>235.2</v>
      </c>
      <c r="P25" s="47">
        <f t="shared" si="11"/>
        <v>6</v>
      </c>
      <c r="Q25" s="117"/>
      <c r="R25" s="19"/>
      <c r="V25" s="20"/>
    </row>
    <row r="26" spans="1:22" x14ac:dyDescent="0.25">
      <c r="A26" s="21">
        <v>3.1</v>
      </c>
      <c r="B26" s="111"/>
      <c r="C26" s="112"/>
      <c r="D26" s="112"/>
      <c r="E26" s="23" t="s">
        <v>37</v>
      </c>
      <c r="F26" s="23">
        <v>40</v>
      </c>
      <c r="G26" s="23" t="s">
        <v>64</v>
      </c>
      <c r="H26" s="23" t="s">
        <v>33</v>
      </c>
      <c r="I26" s="25">
        <v>980</v>
      </c>
      <c r="J26" s="26">
        <f t="shared" si="9"/>
        <v>11760</v>
      </c>
      <c r="K26" s="23">
        <v>12</v>
      </c>
      <c r="L26" s="48" t="s">
        <v>50</v>
      </c>
      <c r="M26" s="49" t="s">
        <v>51</v>
      </c>
      <c r="O26" s="47">
        <f t="shared" si="10"/>
        <v>470.4</v>
      </c>
      <c r="P26" s="47">
        <f t="shared" si="11"/>
        <v>12</v>
      </c>
      <c r="Q26" s="117"/>
      <c r="R26" s="19"/>
      <c r="V26" s="20"/>
    </row>
    <row r="27" spans="1:22" x14ac:dyDescent="0.25">
      <c r="A27" s="50">
        <v>3.1</v>
      </c>
      <c r="B27" s="111"/>
      <c r="C27" s="112"/>
      <c r="D27" s="112"/>
      <c r="E27" s="3" t="s">
        <v>40</v>
      </c>
      <c r="F27" s="3">
        <v>40</v>
      </c>
      <c r="G27" s="3" t="s">
        <v>65</v>
      </c>
      <c r="H27" s="3" t="s">
        <v>63</v>
      </c>
      <c r="I27" s="30">
        <v>980</v>
      </c>
      <c r="J27" s="31">
        <f t="shared" si="9"/>
        <v>9800</v>
      </c>
      <c r="K27" s="3">
        <v>10</v>
      </c>
      <c r="L27" s="51" t="s">
        <v>50</v>
      </c>
      <c r="M27" s="52" t="s">
        <v>51</v>
      </c>
      <c r="O27" s="47">
        <f t="shared" si="10"/>
        <v>392</v>
      </c>
      <c r="P27" s="47">
        <f t="shared" si="11"/>
        <v>10</v>
      </c>
      <c r="Q27" s="117"/>
      <c r="R27" s="19"/>
      <c r="V27" s="20"/>
    </row>
    <row r="28" spans="1:22" ht="15" customHeight="1" x14ac:dyDescent="0.25">
      <c r="A28" s="53">
        <v>3</v>
      </c>
      <c r="B28" s="54"/>
      <c r="C28" s="55"/>
      <c r="D28" s="55"/>
      <c r="E28" s="55"/>
      <c r="F28" s="55"/>
      <c r="G28" s="55"/>
      <c r="H28" s="55"/>
      <c r="I28" s="57"/>
      <c r="J28" s="57"/>
      <c r="K28" s="55">
        <f>SUM(K22:K27)</f>
        <v>81</v>
      </c>
      <c r="L28" s="56"/>
      <c r="M28" s="58"/>
      <c r="N28" s="59" t="str">
        <f>IFERROR(VLOOKUP(A28,[1]WHouse!$B$4:$G$18,6,0),"")</f>
        <v>Finish</v>
      </c>
      <c r="O28" s="60">
        <f>SUM(O22:O27)</f>
        <v>2686.2719999999999</v>
      </c>
      <c r="P28" s="60">
        <f>SUM(P22:P27)</f>
        <v>81</v>
      </c>
      <c r="Q28" s="61">
        <f>SUM(O28:P28)</f>
        <v>2767.2719999999999</v>
      </c>
      <c r="R28" s="62">
        <f>Q28-(Q28*0.04)</f>
        <v>2656.5811199999998</v>
      </c>
      <c r="S28" s="62">
        <f>Q28+(Q28*0.04)</f>
        <v>2877.96288</v>
      </c>
      <c r="T28" s="44">
        <f>R28-(0.06*R28)</f>
        <v>2497.1862527999997</v>
      </c>
      <c r="U28" s="62">
        <f>S28+(0.06*S28)</f>
        <v>3050.6406528000002</v>
      </c>
      <c r="V28" s="63">
        <f>S28+(0.1*S28)</f>
        <v>3165.759168</v>
      </c>
    </row>
    <row r="29" spans="1:22" ht="15" customHeight="1" x14ac:dyDescent="0.25">
      <c r="A29" s="13" t="s">
        <v>66</v>
      </c>
      <c r="B29" s="115" t="s">
        <v>67</v>
      </c>
      <c r="C29" s="116" t="s">
        <v>68</v>
      </c>
      <c r="D29" s="116">
        <v>1</v>
      </c>
      <c r="E29" s="1" t="s">
        <v>37</v>
      </c>
      <c r="F29" s="1">
        <v>42</v>
      </c>
      <c r="G29" s="1" t="s">
        <v>60</v>
      </c>
      <c r="H29" s="1" t="s">
        <v>33</v>
      </c>
      <c r="I29" s="15">
        <v>931</v>
      </c>
      <c r="J29" s="15">
        <f t="shared" ref="J29:J39" si="12">I29*K29</f>
        <v>3724</v>
      </c>
      <c r="K29" s="1">
        <v>4</v>
      </c>
      <c r="L29" s="46" t="s">
        <v>50</v>
      </c>
      <c r="M29" s="17" t="s">
        <v>51</v>
      </c>
      <c r="O29" s="47">
        <f t="shared" ref="O29:O39" si="13">(F29*J29)/1000</f>
        <v>156.40799999999999</v>
      </c>
      <c r="P29" s="47">
        <f t="shared" ref="P29:P39" si="14">K29</f>
        <v>4</v>
      </c>
      <c r="Q29" s="117">
        <f>SUM(O29:P39)</f>
        <v>3815.2759999999998</v>
      </c>
      <c r="R29" s="19"/>
      <c r="V29" s="20"/>
    </row>
    <row r="30" spans="1:22" ht="15" customHeight="1" x14ac:dyDescent="0.25">
      <c r="A30" s="21">
        <v>4.0999999999999996</v>
      </c>
      <c r="B30" s="115"/>
      <c r="C30" s="116"/>
      <c r="D30" s="116"/>
      <c r="E30" s="23" t="s">
        <v>37</v>
      </c>
      <c r="F30" s="23">
        <v>42</v>
      </c>
      <c r="G30" s="23" t="s">
        <v>43</v>
      </c>
      <c r="H30" s="23" t="s">
        <v>69</v>
      </c>
      <c r="I30" s="25">
        <v>931</v>
      </c>
      <c r="J30" s="26">
        <f t="shared" si="12"/>
        <v>931</v>
      </c>
      <c r="K30" s="23">
        <v>1</v>
      </c>
      <c r="L30" s="48" t="s">
        <v>50</v>
      </c>
      <c r="M30" s="49" t="s">
        <v>51</v>
      </c>
      <c r="O30" s="47">
        <f t="shared" si="13"/>
        <v>39.101999999999997</v>
      </c>
      <c r="P30" s="47">
        <f t="shared" si="14"/>
        <v>1</v>
      </c>
      <c r="Q30" s="117"/>
      <c r="R30" s="19"/>
      <c r="V30" s="20"/>
    </row>
    <row r="31" spans="1:22" ht="15" customHeight="1" x14ac:dyDescent="0.25">
      <c r="A31" s="21">
        <v>4.0999999999999996</v>
      </c>
      <c r="B31" s="115"/>
      <c r="C31" s="116"/>
      <c r="D31" s="116"/>
      <c r="E31" s="23" t="s">
        <v>37</v>
      </c>
      <c r="F31" s="23">
        <v>42</v>
      </c>
      <c r="G31" s="23" t="s">
        <v>43</v>
      </c>
      <c r="H31" s="23" t="s">
        <v>33</v>
      </c>
      <c r="I31" s="25">
        <v>931</v>
      </c>
      <c r="J31" s="26">
        <f t="shared" si="12"/>
        <v>1862</v>
      </c>
      <c r="K31" s="23">
        <v>2</v>
      </c>
      <c r="L31" s="48" t="s">
        <v>50</v>
      </c>
      <c r="M31" s="49" t="s">
        <v>51</v>
      </c>
      <c r="O31" s="47">
        <f t="shared" si="13"/>
        <v>78.203999999999994</v>
      </c>
      <c r="P31" s="47">
        <f t="shared" si="14"/>
        <v>2</v>
      </c>
      <c r="Q31" s="117"/>
      <c r="R31" s="19"/>
      <c r="V31" s="20"/>
    </row>
    <row r="32" spans="1:22" ht="15" customHeight="1" x14ac:dyDescent="0.25">
      <c r="A32" s="21">
        <v>4.0999999999999996</v>
      </c>
      <c r="B32" s="115"/>
      <c r="C32" s="116"/>
      <c r="D32" s="116"/>
      <c r="E32" s="23" t="s">
        <v>37</v>
      </c>
      <c r="F32" s="23">
        <v>42</v>
      </c>
      <c r="G32" s="23" t="s">
        <v>64</v>
      </c>
      <c r="H32" s="23" t="s">
        <v>42</v>
      </c>
      <c r="I32" s="25">
        <v>931</v>
      </c>
      <c r="J32" s="26">
        <f t="shared" si="12"/>
        <v>931</v>
      </c>
      <c r="K32" s="23">
        <v>1</v>
      </c>
      <c r="L32" s="48" t="s">
        <v>50</v>
      </c>
      <c r="M32" s="49" t="s">
        <v>51</v>
      </c>
      <c r="O32" s="47">
        <f t="shared" si="13"/>
        <v>39.101999999999997</v>
      </c>
      <c r="P32" s="47">
        <f t="shared" si="14"/>
        <v>1</v>
      </c>
      <c r="Q32" s="117"/>
      <c r="R32" s="19"/>
      <c r="V32" s="20"/>
    </row>
    <row r="33" spans="1:22" ht="15" customHeight="1" x14ac:dyDescent="0.25">
      <c r="A33" s="21">
        <v>4.0999999999999996</v>
      </c>
      <c r="B33" s="115"/>
      <c r="C33" s="116"/>
      <c r="D33" s="116"/>
      <c r="E33" s="23" t="s">
        <v>37</v>
      </c>
      <c r="F33" s="23">
        <v>42</v>
      </c>
      <c r="G33" s="23" t="s">
        <v>70</v>
      </c>
      <c r="H33" s="23" t="s">
        <v>63</v>
      </c>
      <c r="I33" s="25">
        <v>931</v>
      </c>
      <c r="J33" s="26">
        <f t="shared" si="12"/>
        <v>1862</v>
      </c>
      <c r="K33" s="23">
        <v>2</v>
      </c>
      <c r="L33" s="48" t="s">
        <v>50</v>
      </c>
      <c r="M33" s="49" t="s">
        <v>51</v>
      </c>
      <c r="O33" s="47">
        <f t="shared" si="13"/>
        <v>78.203999999999994</v>
      </c>
      <c r="P33" s="47">
        <f t="shared" si="14"/>
        <v>2</v>
      </c>
      <c r="Q33" s="117"/>
      <c r="R33" s="19"/>
      <c r="V33" s="20"/>
    </row>
    <row r="34" spans="1:22" ht="15" customHeight="1" x14ac:dyDescent="0.25">
      <c r="A34" s="21">
        <v>4.0999999999999996</v>
      </c>
      <c r="B34" s="115"/>
      <c r="C34" s="116"/>
      <c r="D34" s="116"/>
      <c r="E34" s="23" t="s">
        <v>37</v>
      </c>
      <c r="F34" s="23">
        <v>42</v>
      </c>
      <c r="G34" s="23" t="s">
        <v>32</v>
      </c>
      <c r="H34" s="23" t="s">
        <v>71</v>
      </c>
      <c r="I34" s="25">
        <v>931</v>
      </c>
      <c r="J34" s="26">
        <f t="shared" si="12"/>
        <v>1862</v>
      </c>
      <c r="K34" s="23">
        <v>2</v>
      </c>
      <c r="L34" s="65" t="s">
        <v>50</v>
      </c>
      <c r="M34" s="66" t="s">
        <v>51</v>
      </c>
      <c r="O34" s="47">
        <f t="shared" si="13"/>
        <v>78.203999999999994</v>
      </c>
      <c r="P34" s="47">
        <f t="shared" si="14"/>
        <v>2</v>
      </c>
      <c r="Q34" s="117"/>
      <c r="R34" s="19"/>
      <c r="V34" s="20"/>
    </row>
    <row r="35" spans="1:22" ht="15" customHeight="1" x14ac:dyDescent="0.25">
      <c r="A35" s="21">
        <v>4.0999999999999996</v>
      </c>
      <c r="B35" s="115"/>
      <c r="C35" s="116"/>
      <c r="D35" s="116"/>
      <c r="E35" s="23" t="s">
        <v>37</v>
      </c>
      <c r="F35" s="23">
        <v>42</v>
      </c>
      <c r="G35" s="23" t="s">
        <v>72</v>
      </c>
      <c r="H35" s="23" t="s">
        <v>33</v>
      </c>
      <c r="I35" s="25">
        <v>931</v>
      </c>
      <c r="J35" s="26">
        <f t="shared" si="12"/>
        <v>9310</v>
      </c>
      <c r="K35" s="23">
        <v>10</v>
      </c>
      <c r="L35" s="65" t="s">
        <v>50</v>
      </c>
      <c r="M35" s="66" t="s">
        <v>51</v>
      </c>
      <c r="O35" s="47">
        <f t="shared" si="13"/>
        <v>391.02</v>
      </c>
      <c r="P35" s="47">
        <f t="shared" si="14"/>
        <v>10</v>
      </c>
      <c r="Q35" s="117"/>
      <c r="R35" s="19"/>
      <c r="V35" s="20"/>
    </row>
    <row r="36" spans="1:22" ht="15" customHeight="1" x14ac:dyDescent="0.25">
      <c r="A36" s="21">
        <v>4.0999999999999996</v>
      </c>
      <c r="B36" s="115"/>
      <c r="C36" s="116"/>
      <c r="D36" s="116"/>
      <c r="E36" s="23" t="s">
        <v>37</v>
      </c>
      <c r="F36" s="23">
        <v>42</v>
      </c>
      <c r="G36" s="23" t="s">
        <v>32</v>
      </c>
      <c r="H36" s="23" t="s">
        <v>33</v>
      </c>
      <c r="I36" s="25">
        <v>931</v>
      </c>
      <c r="J36" s="26">
        <f t="shared" si="12"/>
        <v>9310</v>
      </c>
      <c r="K36" s="23">
        <v>10</v>
      </c>
      <c r="L36" s="65" t="s">
        <v>50</v>
      </c>
      <c r="M36" s="66" t="s">
        <v>51</v>
      </c>
      <c r="O36" s="47">
        <f t="shared" si="13"/>
        <v>391.02</v>
      </c>
      <c r="P36" s="47">
        <f t="shared" si="14"/>
        <v>10</v>
      </c>
      <c r="Q36" s="117"/>
      <c r="R36" s="19"/>
      <c r="V36" s="20"/>
    </row>
    <row r="37" spans="1:22" ht="15" customHeight="1" x14ac:dyDescent="0.25">
      <c r="A37" s="21">
        <v>4.0999999999999996</v>
      </c>
      <c r="B37" s="115"/>
      <c r="C37" s="116"/>
      <c r="D37" s="116"/>
      <c r="E37" s="23" t="s">
        <v>37</v>
      </c>
      <c r="F37" s="23">
        <v>42</v>
      </c>
      <c r="G37" s="23" t="s">
        <v>64</v>
      </c>
      <c r="H37" s="23" t="s">
        <v>73</v>
      </c>
      <c r="I37" s="25">
        <v>931</v>
      </c>
      <c r="J37" s="26">
        <f t="shared" si="12"/>
        <v>5586</v>
      </c>
      <c r="K37" s="23">
        <v>6</v>
      </c>
      <c r="L37" s="65" t="s">
        <v>50</v>
      </c>
      <c r="M37" s="66" t="s">
        <v>51</v>
      </c>
      <c r="O37" s="47">
        <f t="shared" si="13"/>
        <v>234.61199999999999</v>
      </c>
      <c r="P37" s="47">
        <f t="shared" si="14"/>
        <v>6</v>
      </c>
      <c r="Q37" s="117"/>
      <c r="R37" s="19"/>
      <c r="V37" s="20"/>
    </row>
    <row r="38" spans="1:22" ht="15" customHeight="1" x14ac:dyDescent="0.25">
      <c r="A38" s="21">
        <v>4.2</v>
      </c>
      <c r="B38" s="111" t="s">
        <v>74</v>
      </c>
      <c r="C38" s="112" t="s">
        <v>75</v>
      </c>
      <c r="D38" s="112">
        <v>2</v>
      </c>
      <c r="E38" s="23" t="s">
        <v>37</v>
      </c>
      <c r="F38" s="23">
        <v>40</v>
      </c>
      <c r="G38" s="23" t="s">
        <v>48</v>
      </c>
      <c r="H38" s="23" t="s">
        <v>36</v>
      </c>
      <c r="I38" s="25">
        <v>980</v>
      </c>
      <c r="J38" s="26">
        <f t="shared" si="12"/>
        <v>41160</v>
      </c>
      <c r="K38" s="23">
        <v>42</v>
      </c>
      <c r="L38" s="67" t="s">
        <v>27</v>
      </c>
      <c r="M38" s="66" t="s">
        <v>51</v>
      </c>
      <c r="O38" s="47">
        <f t="shared" si="13"/>
        <v>1646.4</v>
      </c>
      <c r="P38" s="47">
        <f t="shared" si="14"/>
        <v>42</v>
      </c>
      <c r="Q38" s="117"/>
      <c r="R38" s="19"/>
      <c r="V38" s="20"/>
    </row>
    <row r="39" spans="1:22" ht="15" customHeight="1" x14ac:dyDescent="0.25">
      <c r="A39" s="21">
        <v>4.2</v>
      </c>
      <c r="B39" s="111"/>
      <c r="C39" s="112"/>
      <c r="D39" s="112"/>
      <c r="E39" s="3" t="s">
        <v>37</v>
      </c>
      <c r="F39" s="3">
        <v>40</v>
      </c>
      <c r="G39" s="3" t="s">
        <v>48</v>
      </c>
      <c r="H39" s="3" t="s">
        <v>36</v>
      </c>
      <c r="I39" s="30">
        <v>980</v>
      </c>
      <c r="J39" s="31">
        <f t="shared" si="12"/>
        <v>14700</v>
      </c>
      <c r="K39" s="3">
        <v>15</v>
      </c>
      <c r="L39" s="69" t="s">
        <v>27</v>
      </c>
      <c r="M39" s="70" t="s">
        <v>51</v>
      </c>
      <c r="O39" s="47">
        <f t="shared" si="13"/>
        <v>588</v>
      </c>
      <c r="P39" s="47">
        <f t="shared" si="14"/>
        <v>15</v>
      </c>
      <c r="Q39" s="117"/>
      <c r="R39" s="19"/>
      <c r="V39" s="20"/>
    </row>
    <row r="40" spans="1:22" ht="15" customHeight="1" x14ac:dyDescent="0.25">
      <c r="A40" s="71">
        <v>4</v>
      </c>
      <c r="B40" s="72"/>
      <c r="C40" s="55"/>
      <c r="D40" s="55"/>
      <c r="E40" s="55"/>
      <c r="F40" s="55"/>
      <c r="G40" s="55"/>
      <c r="H40" s="55"/>
      <c r="I40" s="57"/>
      <c r="J40" s="57"/>
      <c r="K40" s="55">
        <f>SUM(K29:K39)</f>
        <v>95</v>
      </c>
      <c r="L40" s="73"/>
      <c r="M40" s="74"/>
      <c r="N40" s="59">
        <f>IFERROR(VLOOKUP(A40,[1]WHouse!$B$4:$G$18,6,0),"")</f>
        <v>0</v>
      </c>
      <c r="O40" s="60">
        <f>SUM(O29:O39)</f>
        <v>3720.2759999999998</v>
      </c>
      <c r="P40" s="60">
        <f>SUM(P29:P39)</f>
        <v>95</v>
      </c>
      <c r="Q40" s="61">
        <f>SUM(O40:P40)</f>
        <v>3815.2759999999998</v>
      </c>
      <c r="R40" s="62">
        <f>Q40-(Q40*0.04)</f>
        <v>3662.6649600000001</v>
      </c>
      <c r="S40" s="62">
        <f>Q40+(Q40*0.04)</f>
        <v>3967.8870399999996</v>
      </c>
      <c r="T40" s="44">
        <f>R40-(0.06*R40)</f>
        <v>3442.9050624000001</v>
      </c>
      <c r="U40" s="62">
        <f>S40+(0.06*S40)</f>
        <v>4205.9602623999999</v>
      </c>
      <c r="V40" s="63">
        <f>S40+(0.1*S40)</f>
        <v>4364.6757439999992</v>
      </c>
    </row>
    <row r="41" spans="1:22" ht="15" customHeight="1" x14ac:dyDescent="0.25">
      <c r="A41" s="21">
        <v>5.2</v>
      </c>
      <c r="B41" s="115" t="s">
        <v>76</v>
      </c>
      <c r="C41" s="116" t="s">
        <v>77</v>
      </c>
      <c r="D41" s="116">
        <v>2</v>
      </c>
      <c r="E41" s="1" t="s">
        <v>34</v>
      </c>
      <c r="F41" s="1">
        <v>30</v>
      </c>
      <c r="G41" s="1" t="s">
        <v>78</v>
      </c>
      <c r="H41" s="1" t="s">
        <v>79</v>
      </c>
      <c r="I41" s="15">
        <v>1152</v>
      </c>
      <c r="J41" s="15">
        <f t="shared" ref="J41:J48" si="15">I41*K41</f>
        <v>11520</v>
      </c>
      <c r="K41" s="1">
        <v>10</v>
      </c>
      <c r="L41" s="76" t="s">
        <v>27</v>
      </c>
      <c r="M41" s="77" t="s">
        <v>51</v>
      </c>
      <c r="O41" s="47">
        <f t="shared" ref="O41:O48" si="16">(F41*J41)/1000</f>
        <v>345.6</v>
      </c>
      <c r="P41" s="47">
        <f t="shared" ref="P41:P48" si="17">K41</f>
        <v>10</v>
      </c>
      <c r="Q41" s="117">
        <f>SUM(O41:P48)</f>
        <v>2898.4</v>
      </c>
      <c r="R41" s="19"/>
      <c r="V41" s="20"/>
    </row>
    <row r="42" spans="1:22" ht="15" customHeight="1" x14ac:dyDescent="0.25">
      <c r="A42" s="21">
        <v>5.2</v>
      </c>
      <c r="B42" s="115"/>
      <c r="C42" s="116"/>
      <c r="D42" s="116"/>
      <c r="E42" s="23" t="s">
        <v>34</v>
      </c>
      <c r="F42" s="23">
        <v>30</v>
      </c>
      <c r="G42" s="23" t="s">
        <v>78</v>
      </c>
      <c r="H42" s="23" t="s">
        <v>79</v>
      </c>
      <c r="I42" s="25">
        <v>1152</v>
      </c>
      <c r="J42" s="26">
        <f t="shared" si="15"/>
        <v>11520</v>
      </c>
      <c r="K42" s="23">
        <v>10</v>
      </c>
      <c r="L42" s="64" t="s">
        <v>50</v>
      </c>
      <c r="M42" s="66" t="s">
        <v>51</v>
      </c>
      <c r="O42" s="47">
        <f t="shared" si="16"/>
        <v>345.6</v>
      </c>
      <c r="P42" s="47">
        <f t="shared" si="17"/>
        <v>10</v>
      </c>
      <c r="Q42" s="117"/>
      <c r="R42" s="19"/>
      <c r="V42" s="20"/>
    </row>
    <row r="43" spans="1:22" ht="15" customHeight="1" x14ac:dyDescent="0.25">
      <c r="A43" s="21">
        <v>5.2</v>
      </c>
      <c r="B43" s="115"/>
      <c r="C43" s="116"/>
      <c r="D43" s="116"/>
      <c r="E43" s="23" t="s">
        <v>34</v>
      </c>
      <c r="F43" s="23">
        <v>30</v>
      </c>
      <c r="G43" s="23" t="s">
        <v>78</v>
      </c>
      <c r="H43" s="23" t="s">
        <v>79</v>
      </c>
      <c r="I43" s="25">
        <v>1152</v>
      </c>
      <c r="J43" s="26">
        <f t="shared" si="15"/>
        <v>11520</v>
      </c>
      <c r="K43" s="23">
        <v>10</v>
      </c>
      <c r="L43" s="67" t="s">
        <v>27</v>
      </c>
      <c r="M43" s="66" t="s">
        <v>51</v>
      </c>
      <c r="O43" s="47">
        <f t="shared" si="16"/>
        <v>345.6</v>
      </c>
      <c r="P43" s="47">
        <f t="shared" si="17"/>
        <v>10</v>
      </c>
      <c r="Q43" s="117"/>
      <c r="R43" s="19"/>
      <c r="V43" s="20"/>
    </row>
    <row r="44" spans="1:22" ht="15" customHeight="1" x14ac:dyDescent="0.25">
      <c r="A44" s="21">
        <v>5.2</v>
      </c>
      <c r="B44" s="115"/>
      <c r="C44" s="116"/>
      <c r="D44" s="116"/>
      <c r="E44" s="23" t="s">
        <v>34</v>
      </c>
      <c r="F44" s="23">
        <v>30</v>
      </c>
      <c r="G44" s="23" t="s">
        <v>72</v>
      </c>
      <c r="H44" s="23" t="s">
        <v>80</v>
      </c>
      <c r="I44" s="25">
        <v>1152</v>
      </c>
      <c r="J44" s="26">
        <f t="shared" si="15"/>
        <v>11520</v>
      </c>
      <c r="K44" s="23">
        <v>10</v>
      </c>
      <c r="L44" s="64" t="s">
        <v>50</v>
      </c>
      <c r="M44" s="66" t="s">
        <v>51</v>
      </c>
      <c r="O44" s="47">
        <f t="shared" si="16"/>
        <v>345.6</v>
      </c>
      <c r="P44" s="47">
        <f t="shared" si="17"/>
        <v>10</v>
      </c>
      <c r="Q44" s="117"/>
      <c r="R44" s="19"/>
      <c r="V44" s="20"/>
    </row>
    <row r="45" spans="1:22" ht="15" customHeight="1" x14ac:dyDescent="0.25">
      <c r="A45" s="21">
        <v>5.2</v>
      </c>
      <c r="B45" s="115"/>
      <c r="C45" s="116"/>
      <c r="D45" s="116"/>
      <c r="E45" s="23" t="s">
        <v>34</v>
      </c>
      <c r="F45" s="23">
        <v>30</v>
      </c>
      <c r="G45" s="23" t="s">
        <v>81</v>
      </c>
      <c r="H45" s="23" t="s">
        <v>71</v>
      </c>
      <c r="I45" s="25">
        <v>1152</v>
      </c>
      <c r="J45" s="26">
        <f t="shared" si="15"/>
        <v>23040</v>
      </c>
      <c r="K45" s="23">
        <v>20</v>
      </c>
      <c r="L45" s="64" t="s">
        <v>50</v>
      </c>
      <c r="M45" s="66" t="s">
        <v>51</v>
      </c>
      <c r="O45" s="47">
        <f t="shared" si="16"/>
        <v>691.2</v>
      </c>
      <c r="P45" s="47">
        <f t="shared" si="17"/>
        <v>20</v>
      </c>
      <c r="Q45" s="117"/>
      <c r="R45" s="19"/>
      <c r="V45" s="20"/>
    </row>
    <row r="46" spans="1:22" ht="15" customHeight="1" x14ac:dyDescent="0.25">
      <c r="A46" s="21">
        <v>5.3</v>
      </c>
      <c r="B46" s="118" t="s">
        <v>82</v>
      </c>
      <c r="C46" s="119" t="s">
        <v>46</v>
      </c>
      <c r="D46" s="119">
        <v>3</v>
      </c>
      <c r="E46" s="23" t="s">
        <v>37</v>
      </c>
      <c r="F46" s="23">
        <v>40</v>
      </c>
      <c r="G46" s="23" t="s">
        <v>38</v>
      </c>
      <c r="H46" s="23" t="s">
        <v>54</v>
      </c>
      <c r="I46" s="25">
        <v>931</v>
      </c>
      <c r="J46" s="26">
        <f t="shared" si="15"/>
        <v>4655</v>
      </c>
      <c r="K46" s="23">
        <v>5</v>
      </c>
      <c r="L46" s="64" t="s">
        <v>50</v>
      </c>
      <c r="M46" s="66" t="s">
        <v>51</v>
      </c>
      <c r="O46" s="47">
        <f t="shared" si="16"/>
        <v>186.2</v>
      </c>
      <c r="P46" s="47">
        <f t="shared" si="17"/>
        <v>5</v>
      </c>
      <c r="Q46" s="117"/>
      <c r="R46" s="19"/>
      <c r="V46" s="20"/>
    </row>
    <row r="47" spans="1:22" ht="15" customHeight="1" x14ac:dyDescent="0.25">
      <c r="A47" s="21">
        <v>5.3</v>
      </c>
      <c r="B47" s="118"/>
      <c r="C47" s="119"/>
      <c r="D47" s="119"/>
      <c r="E47" s="23" t="s">
        <v>37</v>
      </c>
      <c r="F47" s="23">
        <v>40</v>
      </c>
      <c r="G47" s="23" t="s">
        <v>78</v>
      </c>
      <c r="H47" s="23" t="s">
        <v>33</v>
      </c>
      <c r="I47" s="25">
        <v>931</v>
      </c>
      <c r="J47" s="26">
        <f t="shared" si="15"/>
        <v>4655</v>
      </c>
      <c r="K47" s="23">
        <v>5</v>
      </c>
      <c r="L47" s="64" t="s">
        <v>50</v>
      </c>
      <c r="M47" s="66" t="s">
        <v>51</v>
      </c>
      <c r="O47" s="47">
        <f t="shared" si="16"/>
        <v>186.2</v>
      </c>
      <c r="P47" s="47">
        <f t="shared" si="17"/>
        <v>5</v>
      </c>
      <c r="Q47" s="117"/>
      <c r="R47" s="19"/>
      <c r="V47" s="20"/>
    </row>
    <row r="48" spans="1:22" ht="15" customHeight="1" x14ac:dyDescent="0.25">
      <c r="A48" s="50">
        <v>5.0999999999999996</v>
      </c>
      <c r="B48" s="4" t="s">
        <v>83</v>
      </c>
      <c r="C48" s="3" t="s">
        <v>77</v>
      </c>
      <c r="D48" s="3">
        <v>1</v>
      </c>
      <c r="E48" s="3" t="s">
        <v>37</v>
      </c>
      <c r="F48" s="3">
        <v>40</v>
      </c>
      <c r="G48" s="3" t="s">
        <v>70</v>
      </c>
      <c r="H48" s="3" t="s">
        <v>42</v>
      </c>
      <c r="I48" s="30">
        <v>931</v>
      </c>
      <c r="J48" s="31">
        <f t="shared" si="15"/>
        <v>9310</v>
      </c>
      <c r="K48" s="3">
        <v>10</v>
      </c>
      <c r="L48" s="68" t="s">
        <v>50</v>
      </c>
      <c r="M48" s="70" t="s">
        <v>51</v>
      </c>
      <c r="O48" s="47">
        <f t="shared" si="16"/>
        <v>372.4</v>
      </c>
      <c r="P48" s="47">
        <f t="shared" si="17"/>
        <v>10</v>
      </c>
      <c r="Q48" s="117"/>
      <c r="R48" s="19"/>
      <c r="V48" s="20"/>
    </row>
    <row r="49" spans="1:22" ht="15" customHeight="1" x14ac:dyDescent="0.25">
      <c r="A49" s="53">
        <v>5</v>
      </c>
      <c r="B49" s="54"/>
      <c r="C49" s="55"/>
      <c r="D49" s="55"/>
      <c r="E49" s="55"/>
      <c r="F49" s="55"/>
      <c r="G49" s="55"/>
      <c r="H49" s="55"/>
      <c r="I49" s="57"/>
      <c r="J49" s="57"/>
      <c r="K49" s="55">
        <f>SUM(K41:K48)</f>
        <v>80</v>
      </c>
      <c r="L49" s="73"/>
      <c r="M49" s="74"/>
      <c r="N49" s="59">
        <f>IFERROR(VLOOKUP(A49,[1]WHouse!$B$4:$G$18,6,0),"")</f>
        <v>0</v>
      </c>
      <c r="O49" s="60">
        <f>SUM(O41:O48)</f>
        <v>2818.4</v>
      </c>
      <c r="P49" s="60">
        <f>SUM(P41:P48)</f>
        <v>80</v>
      </c>
      <c r="Q49" s="61">
        <f>SUM(O49:P49)</f>
        <v>2898.4</v>
      </c>
      <c r="R49" s="62">
        <f>Q49-(Q49*0.04)</f>
        <v>2782.4639999999999</v>
      </c>
      <c r="S49" s="62">
        <f>Q49+(Q49*0.04)</f>
        <v>3014.3360000000002</v>
      </c>
      <c r="T49" s="44">
        <f>R49-(0.06*R49)</f>
        <v>2615.5161600000001</v>
      </c>
      <c r="U49" s="62">
        <f>S49+(0.06*S49)</f>
        <v>3195.1961600000004</v>
      </c>
      <c r="V49" s="63">
        <f>S49+(0.1*S49)</f>
        <v>3315.7696000000001</v>
      </c>
    </row>
    <row r="50" spans="1:22" ht="15" customHeight="1" x14ac:dyDescent="0.25">
      <c r="A50" s="13">
        <v>6.1</v>
      </c>
      <c r="B50" s="120" t="s">
        <v>84</v>
      </c>
      <c r="C50" s="121" t="s">
        <v>59</v>
      </c>
      <c r="D50" s="121">
        <v>1</v>
      </c>
      <c r="E50" s="1" t="s">
        <v>85</v>
      </c>
      <c r="F50" s="1">
        <v>230</v>
      </c>
      <c r="G50" s="1" t="s">
        <v>25</v>
      </c>
      <c r="H50" s="1" t="s">
        <v>26</v>
      </c>
      <c r="I50" s="15">
        <v>480</v>
      </c>
      <c r="J50" s="15">
        <f>I50*K50</f>
        <v>4320</v>
      </c>
      <c r="K50" s="1">
        <v>9</v>
      </c>
      <c r="L50" s="75" t="s">
        <v>50</v>
      </c>
      <c r="M50" s="77" t="s">
        <v>51</v>
      </c>
      <c r="O50" s="47">
        <f>(F50*J50)/1000</f>
        <v>993.6</v>
      </c>
      <c r="P50" s="47">
        <f>K50</f>
        <v>9</v>
      </c>
      <c r="Q50" s="117">
        <f>SUM(O50:P51)</f>
        <v>2035.44</v>
      </c>
      <c r="R50" s="19"/>
      <c r="V50" s="20"/>
    </row>
    <row r="51" spans="1:22" ht="15" customHeight="1" x14ac:dyDescent="0.25">
      <c r="A51" s="50">
        <v>6.1</v>
      </c>
      <c r="B51" s="120"/>
      <c r="C51" s="121"/>
      <c r="D51" s="121"/>
      <c r="E51" s="3" t="s">
        <v>86</v>
      </c>
      <c r="F51" s="3">
        <v>237</v>
      </c>
      <c r="G51" s="3" t="s">
        <v>25</v>
      </c>
      <c r="H51" s="3" t="s">
        <v>26</v>
      </c>
      <c r="I51" s="30">
        <v>480</v>
      </c>
      <c r="J51" s="31">
        <f>I51*K51</f>
        <v>4320</v>
      </c>
      <c r="K51" s="3">
        <v>9</v>
      </c>
      <c r="L51" s="68" t="s">
        <v>50</v>
      </c>
      <c r="M51" s="70" t="s">
        <v>51</v>
      </c>
      <c r="O51" s="47">
        <f>(F51*J51)/1000</f>
        <v>1023.84</v>
      </c>
      <c r="P51" s="47">
        <f>K51</f>
        <v>9</v>
      </c>
      <c r="Q51" s="117"/>
      <c r="R51" s="19"/>
      <c r="V51" s="20"/>
    </row>
    <row r="52" spans="1:22" ht="15" customHeight="1" x14ac:dyDescent="0.25">
      <c r="A52" s="53">
        <v>6</v>
      </c>
      <c r="B52" s="54"/>
      <c r="C52" s="55"/>
      <c r="D52" s="55"/>
      <c r="E52" s="55"/>
      <c r="F52" s="55"/>
      <c r="G52" s="55"/>
      <c r="H52" s="55"/>
      <c r="I52" s="57"/>
      <c r="J52" s="57"/>
      <c r="K52" s="55">
        <f>SUM(K50:K51)</f>
        <v>18</v>
      </c>
      <c r="L52" s="73"/>
      <c r="M52" s="74"/>
      <c r="N52" s="59">
        <f>IFERROR(VLOOKUP(A52,[1]WHouse!$B$4:$G$18,6,0),"")</f>
        <v>0</v>
      </c>
      <c r="O52" s="60">
        <f>SUM(O50:O51)</f>
        <v>2017.44</v>
      </c>
      <c r="P52" s="60">
        <f>SUM(P50:P51)</f>
        <v>18</v>
      </c>
      <c r="Q52" s="61">
        <f>SUM(O52:P52)</f>
        <v>2035.44</v>
      </c>
      <c r="R52" s="62">
        <f>Q52-(Q52*0.04)</f>
        <v>1954.0224000000001</v>
      </c>
      <c r="S52" s="62">
        <f>Q52+(Q52*0.04)</f>
        <v>2116.8576000000003</v>
      </c>
      <c r="T52" s="44">
        <f>R52-(0.06*R52)</f>
        <v>1836.781056</v>
      </c>
      <c r="U52" s="62">
        <f>S52+(0.06*S52)</f>
        <v>2243.8690560000005</v>
      </c>
      <c r="V52" s="63">
        <f>S52+(0.1*S52)</f>
        <v>2328.5433600000001</v>
      </c>
    </row>
    <row r="53" spans="1:22" ht="15" customHeight="1" x14ac:dyDescent="0.25">
      <c r="A53" s="13">
        <v>7.1</v>
      </c>
      <c r="B53" s="2" t="s">
        <v>87</v>
      </c>
      <c r="C53" s="1" t="s">
        <v>23</v>
      </c>
      <c r="D53" s="1">
        <v>1</v>
      </c>
      <c r="E53" s="1" t="s">
        <v>88</v>
      </c>
      <c r="F53" s="1">
        <v>237</v>
      </c>
      <c r="G53" s="1" t="s">
        <v>48</v>
      </c>
      <c r="H53" s="1" t="s">
        <v>48</v>
      </c>
      <c r="I53" s="15">
        <v>3000</v>
      </c>
      <c r="J53" s="15">
        <f>I53*K53</f>
        <v>6000</v>
      </c>
      <c r="K53" s="1">
        <v>2</v>
      </c>
      <c r="L53" s="14" t="s">
        <v>27</v>
      </c>
      <c r="M53" s="17" t="s">
        <v>51</v>
      </c>
      <c r="O53" s="47">
        <f>(F53*J53)/1000</f>
        <v>1422</v>
      </c>
      <c r="P53" s="47">
        <f>K53</f>
        <v>2</v>
      </c>
      <c r="Q53" s="117">
        <f>SUM(O53:P57)</f>
        <v>2630</v>
      </c>
      <c r="R53" s="19"/>
      <c r="V53" s="20"/>
    </row>
    <row r="54" spans="1:22" ht="15" customHeight="1" x14ac:dyDescent="0.25">
      <c r="A54" s="21">
        <v>7.2</v>
      </c>
      <c r="B54" s="111" t="s">
        <v>89</v>
      </c>
      <c r="C54" s="112" t="s">
        <v>23</v>
      </c>
      <c r="D54" s="112">
        <v>2</v>
      </c>
      <c r="E54" s="23" t="s">
        <v>37</v>
      </c>
      <c r="F54" s="23">
        <v>40</v>
      </c>
      <c r="G54" s="23" t="s">
        <v>38</v>
      </c>
      <c r="H54" s="23" t="s">
        <v>73</v>
      </c>
      <c r="I54" s="25">
        <v>980</v>
      </c>
      <c r="J54" s="26">
        <f>I54*K54</f>
        <v>9800</v>
      </c>
      <c r="K54" s="23">
        <v>10</v>
      </c>
      <c r="L54" s="24" t="s">
        <v>27</v>
      </c>
      <c r="M54" s="49" t="s">
        <v>51</v>
      </c>
      <c r="O54" s="47">
        <f>(F54*J54)/1000</f>
        <v>392</v>
      </c>
      <c r="P54" s="47">
        <f>K54</f>
        <v>10</v>
      </c>
      <c r="Q54" s="117"/>
      <c r="R54" s="19"/>
      <c r="V54" s="20"/>
    </row>
    <row r="55" spans="1:22" ht="15" customHeight="1" x14ac:dyDescent="0.25">
      <c r="A55" s="21">
        <v>7.2</v>
      </c>
      <c r="B55" s="111"/>
      <c r="C55" s="112"/>
      <c r="D55" s="112"/>
      <c r="E55" s="23" t="s">
        <v>37</v>
      </c>
      <c r="F55" s="23">
        <v>40</v>
      </c>
      <c r="G55" s="79" t="s">
        <v>43</v>
      </c>
      <c r="H55" s="23" t="s">
        <v>73</v>
      </c>
      <c r="I55" s="25">
        <v>980</v>
      </c>
      <c r="J55" s="26">
        <f>I55*K55</f>
        <v>4900</v>
      </c>
      <c r="K55" s="23">
        <v>5</v>
      </c>
      <c r="L55" s="24" t="s">
        <v>27</v>
      </c>
      <c r="M55" s="49" t="s">
        <v>51</v>
      </c>
      <c r="O55" s="47">
        <f>(F55*J55)/1000</f>
        <v>196</v>
      </c>
      <c r="P55" s="47">
        <f>K55</f>
        <v>5</v>
      </c>
      <c r="Q55" s="117"/>
      <c r="R55" s="19"/>
      <c r="V55" s="20"/>
    </row>
    <row r="56" spans="1:22" ht="15" customHeight="1" x14ac:dyDescent="0.25">
      <c r="A56" s="21">
        <v>7.2</v>
      </c>
      <c r="B56" s="111"/>
      <c r="C56" s="112"/>
      <c r="D56" s="112"/>
      <c r="E56" s="23" t="s">
        <v>37</v>
      </c>
      <c r="F56" s="23">
        <v>40</v>
      </c>
      <c r="G56" s="23" t="s">
        <v>78</v>
      </c>
      <c r="H56" s="23" t="s">
        <v>90</v>
      </c>
      <c r="I56" s="25">
        <v>980</v>
      </c>
      <c r="J56" s="26">
        <f>I56*K56</f>
        <v>4900</v>
      </c>
      <c r="K56" s="23">
        <v>5</v>
      </c>
      <c r="L56" s="24" t="s">
        <v>27</v>
      </c>
      <c r="M56" s="49" t="s">
        <v>51</v>
      </c>
      <c r="O56" s="47">
        <f>(F56*J56)/1000</f>
        <v>196</v>
      </c>
      <c r="P56" s="47">
        <f>K56</f>
        <v>5</v>
      </c>
      <c r="Q56" s="117"/>
      <c r="R56" s="19"/>
      <c r="V56" s="20"/>
    </row>
    <row r="57" spans="1:22" ht="15" customHeight="1" x14ac:dyDescent="0.25">
      <c r="A57" s="21">
        <v>7.2</v>
      </c>
      <c r="B57" s="111"/>
      <c r="C57" s="112"/>
      <c r="D57" s="112"/>
      <c r="E57" s="3" t="s">
        <v>37</v>
      </c>
      <c r="F57" s="3">
        <v>40</v>
      </c>
      <c r="G57" s="3" t="s">
        <v>78</v>
      </c>
      <c r="H57" s="3" t="s">
        <v>90</v>
      </c>
      <c r="I57" s="30">
        <v>980</v>
      </c>
      <c r="J57" s="31">
        <f>I57*K57</f>
        <v>9800</v>
      </c>
      <c r="K57" s="3">
        <v>10</v>
      </c>
      <c r="L57" s="68" t="s">
        <v>50</v>
      </c>
      <c r="M57" s="52" t="s">
        <v>51</v>
      </c>
      <c r="O57" s="47">
        <f>(F57*J57)/1000</f>
        <v>392</v>
      </c>
      <c r="P57" s="47">
        <f>K57</f>
        <v>10</v>
      </c>
      <c r="Q57" s="117"/>
      <c r="R57" s="19"/>
      <c r="V57" s="20"/>
    </row>
    <row r="58" spans="1:22" ht="15" customHeight="1" x14ac:dyDescent="0.25">
      <c r="A58" s="71">
        <v>7</v>
      </c>
      <c r="B58" s="72"/>
      <c r="C58" s="55"/>
      <c r="D58" s="55"/>
      <c r="E58" s="55"/>
      <c r="F58" s="55"/>
      <c r="G58" s="55"/>
      <c r="H58" s="55"/>
      <c r="I58" s="57"/>
      <c r="J58" s="57"/>
      <c r="K58" s="55">
        <f>SUM(K53:K57)</f>
        <v>32</v>
      </c>
      <c r="L58" s="73"/>
      <c r="M58" s="58"/>
      <c r="N58" s="59">
        <f>IFERROR(VLOOKUP(A58,[1]WHouse!$B$4:$G$18,6,0),"")</f>
        <v>0</v>
      </c>
      <c r="O58" s="60">
        <f>SUM(O53:O57)</f>
        <v>2598</v>
      </c>
      <c r="P58" s="60">
        <f>SUM(P53:P57)</f>
        <v>32</v>
      </c>
      <c r="Q58" s="61">
        <f>SUM(O58:P58)</f>
        <v>2630</v>
      </c>
      <c r="R58" s="62">
        <f>Q58-(Q58*0.04)</f>
        <v>2524.8000000000002</v>
      </c>
      <c r="S58" s="62">
        <f>Q58+(Q58*0.04)</f>
        <v>2735.2</v>
      </c>
      <c r="T58" s="44">
        <f>R58-(0.06*R58)</f>
        <v>2373.3120000000004</v>
      </c>
      <c r="U58" s="62">
        <f>S58+(0.06*S58)</f>
        <v>2899.3119999999999</v>
      </c>
      <c r="V58" s="63">
        <f>S58+(0.1*S58)</f>
        <v>3008.72</v>
      </c>
    </row>
    <row r="59" spans="1:22" ht="15" customHeight="1" x14ac:dyDescent="0.25">
      <c r="A59" s="13">
        <v>8.1</v>
      </c>
      <c r="B59" s="115" t="s">
        <v>91</v>
      </c>
      <c r="C59" s="116" t="s">
        <v>92</v>
      </c>
      <c r="D59" s="116">
        <v>1</v>
      </c>
      <c r="E59" s="1" t="s">
        <v>37</v>
      </c>
      <c r="F59" s="1">
        <v>42</v>
      </c>
      <c r="G59" s="1" t="s">
        <v>78</v>
      </c>
      <c r="H59" s="1" t="s">
        <v>33</v>
      </c>
      <c r="I59" s="15">
        <v>931</v>
      </c>
      <c r="J59" s="15">
        <f t="shared" ref="J59:J64" si="18">I59*K59</f>
        <v>1862</v>
      </c>
      <c r="K59" s="1">
        <v>2</v>
      </c>
      <c r="L59" s="76" t="s">
        <v>27</v>
      </c>
      <c r="M59" s="77" t="s">
        <v>28</v>
      </c>
      <c r="O59" s="47">
        <f t="shared" ref="O59:O64" si="19">(F59*J59)/1000</f>
        <v>78.203999999999994</v>
      </c>
      <c r="P59" s="47">
        <f t="shared" ref="P59:P64" si="20">K59</f>
        <v>2</v>
      </c>
      <c r="Q59" s="117">
        <f>SUM(O59:P64)</f>
        <v>2608.12</v>
      </c>
      <c r="R59" s="19"/>
      <c r="V59" s="20"/>
    </row>
    <row r="60" spans="1:22" ht="15" customHeight="1" x14ac:dyDescent="0.25">
      <c r="A60" s="21">
        <v>8.1</v>
      </c>
      <c r="B60" s="115"/>
      <c r="C60" s="116"/>
      <c r="D60" s="116"/>
      <c r="E60" s="23" t="s">
        <v>37</v>
      </c>
      <c r="F60" s="23">
        <v>42</v>
      </c>
      <c r="G60" s="23" t="s">
        <v>81</v>
      </c>
      <c r="H60" s="23" t="s">
        <v>54</v>
      </c>
      <c r="I60" s="25">
        <v>931</v>
      </c>
      <c r="J60" s="26">
        <f t="shared" si="18"/>
        <v>13034</v>
      </c>
      <c r="K60" s="23">
        <v>14</v>
      </c>
      <c r="L60" s="67" t="s">
        <v>27</v>
      </c>
      <c r="M60" s="66" t="s">
        <v>28</v>
      </c>
      <c r="O60" s="47">
        <f t="shared" si="19"/>
        <v>547.428</v>
      </c>
      <c r="P60" s="47">
        <f t="shared" si="20"/>
        <v>14</v>
      </c>
      <c r="Q60" s="117"/>
      <c r="R60" s="19"/>
      <c r="V60" s="20"/>
    </row>
    <row r="61" spans="1:22" ht="15" customHeight="1" x14ac:dyDescent="0.25">
      <c r="A61" s="21">
        <v>8.1</v>
      </c>
      <c r="B61" s="115"/>
      <c r="C61" s="116"/>
      <c r="D61" s="116"/>
      <c r="E61" s="23" t="s">
        <v>37</v>
      </c>
      <c r="F61" s="23">
        <v>42</v>
      </c>
      <c r="G61" s="23" t="s">
        <v>43</v>
      </c>
      <c r="H61" s="23" t="s">
        <v>33</v>
      </c>
      <c r="I61" s="25">
        <v>931</v>
      </c>
      <c r="J61" s="26">
        <f t="shared" si="18"/>
        <v>3724</v>
      </c>
      <c r="K61" s="23">
        <v>4</v>
      </c>
      <c r="L61" s="67" t="s">
        <v>27</v>
      </c>
      <c r="M61" s="66" t="s">
        <v>28</v>
      </c>
      <c r="O61" s="47">
        <f t="shared" si="19"/>
        <v>156.40799999999999</v>
      </c>
      <c r="P61" s="47">
        <f t="shared" si="20"/>
        <v>4</v>
      </c>
      <c r="Q61" s="117"/>
      <c r="R61" s="19"/>
      <c r="V61" s="20"/>
    </row>
    <row r="62" spans="1:22" ht="15" customHeight="1" x14ac:dyDescent="0.25">
      <c r="A62" s="21">
        <v>8.1</v>
      </c>
      <c r="B62" s="115"/>
      <c r="C62" s="116"/>
      <c r="D62" s="116"/>
      <c r="E62" s="23" t="s">
        <v>37</v>
      </c>
      <c r="F62" s="23">
        <v>42</v>
      </c>
      <c r="G62" s="23" t="s">
        <v>32</v>
      </c>
      <c r="H62" s="23" t="s">
        <v>33</v>
      </c>
      <c r="I62" s="25">
        <v>931</v>
      </c>
      <c r="J62" s="26">
        <f t="shared" si="18"/>
        <v>18620</v>
      </c>
      <c r="K62" s="23">
        <v>20</v>
      </c>
      <c r="L62" s="67" t="s">
        <v>27</v>
      </c>
      <c r="M62" s="66" t="s">
        <v>28</v>
      </c>
      <c r="O62" s="47">
        <f t="shared" si="19"/>
        <v>782.04</v>
      </c>
      <c r="P62" s="47">
        <f t="shared" si="20"/>
        <v>20</v>
      </c>
      <c r="Q62" s="117"/>
      <c r="R62" s="19"/>
      <c r="V62" s="20"/>
    </row>
    <row r="63" spans="1:22" ht="15" customHeight="1" x14ac:dyDescent="0.25">
      <c r="A63" s="21">
        <v>8.1</v>
      </c>
      <c r="B63" s="115"/>
      <c r="C63" s="116"/>
      <c r="D63" s="116"/>
      <c r="E63" s="23" t="s">
        <v>37</v>
      </c>
      <c r="F63" s="23">
        <v>42</v>
      </c>
      <c r="G63" s="23" t="s">
        <v>81</v>
      </c>
      <c r="H63" s="23" t="s">
        <v>63</v>
      </c>
      <c r="I63" s="25">
        <v>931</v>
      </c>
      <c r="J63" s="26">
        <f t="shared" si="18"/>
        <v>18620</v>
      </c>
      <c r="K63" s="23">
        <v>20</v>
      </c>
      <c r="L63" s="67" t="s">
        <v>27</v>
      </c>
      <c r="M63" s="66" t="s">
        <v>28</v>
      </c>
      <c r="O63" s="47">
        <f t="shared" si="19"/>
        <v>782.04</v>
      </c>
      <c r="P63" s="47">
        <f t="shared" si="20"/>
        <v>20</v>
      </c>
      <c r="Q63" s="117"/>
      <c r="R63" s="19"/>
      <c r="V63" s="20"/>
    </row>
    <row r="64" spans="1:22" ht="15" customHeight="1" x14ac:dyDescent="0.25">
      <c r="A64" s="50">
        <v>8.1999999999999993</v>
      </c>
      <c r="B64" s="4" t="s">
        <v>93</v>
      </c>
      <c r="C64" s="3" t="s">
        <v>92</v>
      </c>
      <c r="D64" s="3">
        <v>2</v>
      </c>
      <c r="E64" s="3" t="s">
        <v>94</v>
      </c>
      <c r="F64" s="3">
        <v>67</v>
      </c>
      <c r="G64" s="3" t="s">
        <v>25</v>
      </c>
      <c r="H64" s="3" t="s">
        <v>26</v>
      </c>
      <c r="I64" s="30">
        <v>3000</v>
      </c>
      <c r="J64" s="31">
        <f t="shared" si="18"/>
        <v>3000</v>
      </c>
      <c r="K64" s="3">
        <v>1</v>
      </c>
      <c r="L64" s="69" t="s">
        <v>27</v>
      </c>
      <c r="M64" s="70" t="s">
        <v>28</v>
      </c>
      <c r="O64" s="47">
        <f t="shared" si="19"/>
        <v>201</v>
      </c>
      <c r="P64" s="47">
        <f t="shared" si="20"/>
        <v>1</v>
      </c>
      <c r="Q64" s="117"/>
      <c r="R64" s="19"/>
      <c r="V64" s="20"/>
    </row>
    <row r="65" spans="1:22" ht="15" customHeight="1" x14ac:dyDescent="0.25">
      <c r="A65" s="80">
        <v>8</v>
      </c>
      <c r="B65" s="81"/>
      <c r="C65" s="82"/>
      <c r="D65" s="82"/>
      <c r="E65" s="82"/>
      <c r="F65" s="82"/>
      <c r="G65" s="82"/>
      <c r="H65" s="82"/>
      <c r="I65" s="84"/>
      <c r="J65" s="84"/>
      <c r="K65" s="82">
        <f>SUM(K59:K64)</f>
        <v>61</v>
      </c>
      <c r="L65" s="83"/>
      <c r="M65" s="85"/>
      <c r="N65" s="59">
        <f>IFERROR(VLOOKUP(A65,[1]WHouse!$B$4:$G$18,6,0),"")</f>
        <v>0</v>
      </c>
      <c r="O65" s="60">
        <f>SUM(O59:O64)</f>
        <v>2547.12</v>
      </c>
      <c r="P65" s="60">
        <f>SUM(P59:P64)</f>
        <v>61</v>
      </c>
      <c r="Q65" s="61">
        <f>SUM(O65:P65)</f>
        <v>2608.12</v>
      </c>
      <c r="R65" s="62">
        <f>Q65-(Q65*0.04)</f>
        <v>2503.7952</v>
      </c>
      <c r="S65" s="62">
        <f>Q65+(Q65*0.04)</f>
        <v>2712.4447999999998</v>
      </c>
      <c r="T65" s="44">
        <f>R65-(0.06*R65)</f>
        <v>2353.5674880000001</v>
      </c>
      <c r="U65" s="62">
        <f>S65+(0.06*S65)</f>
        <v>2875.1914879999999</v>
      </c>
      <c r="V65" s="63">
        <f>S65+(0.1*S65)</f>
        <v>2983.6892799999996</v>
      </c>
    </row>
    <row r="66" spans="1:22" ht="15" customHeight="1" x14ac:dyDescent="0.25">
      <c r="A66" s="86">
        <v>9.1</v>
      </c>
      <c r="B66" s="78" t="s">
        <v>95</v>
      </c>
      <c r="C66" s="78" t="s">
        <v>46</v>
      </c>
      <c r="D66" s="78">
        <v>1</v>
      </c>
      <c r="E66" s="78" t="s">
        <v>96</v>
      </c>
      <c r="F66" s="78">
        <v>348</v>
      </c>
      <c r="G66" s="78" t="s">
        <v>48</v>
      </c>
      <c r="H66" s="78" t="s">
        <v>48</v>
      </c>
      <c r="I66" s="87">
        <v>2000</v>
      </c>
      <c r="J66" s="87">
        <f>I66*K66</f>
        <v>2000</v>
      </c>
      <c r="K66" s="78">
        <v>1</v>
      </c>
      <c r="L66" s="88" t="s">
        <v>50</v>
      </c>
      <c r="M66" s="89" t="s">
        <v>51</v>
      </c>
      <c r="O66" s="47">
        <f>(F66*J66)/1000</f>
        <v>696</v>
      </c>
      <c r="P66" s="47">
        <f>K66</f>
        <v>1</v>
      </c>
      <c r="Q66" s="47">
        <f>O66+P66</f>
        <v>697</v>
      </c>
      <c r="R66" s="19"/>
      <c r="V66" s="20"/>
    </row>
    <row r="67" spans="1:22" ht="15" customHeight="1" x14ac:dyDescent="0.25">
      <c r="A67" s="90">
        <v>9</v>
      </c>
      <c r="B67" s="91"/>
      <c r="C67" s="91"/>
      <c r="D67" s="91"/>
      <c r="E67" s="91"/>
      <c r="F67" s="91"/>
      <c r="G67" s="91"/>
      <c r="H67" s="91"/>
      <c r="I67" s="93"/>
      <c r="J67" s="93"/>
      <c r="K67" s="91">
        <f>SUM(K66)</f>
        <v>1</v>
      </c>
      <c r="L67" s="92"/>
      <c r="M67" s="94"/>
      <c r="N67" s="59">
        <f>IFERROR(VLOOKUP(A67,[1]WHouse!$B$4:$G$18,6,0),"")</f>
        <v>0</v>
      </c>
      <c r="O67" s="60">
        <f>SUM(O66)</f>
        <v>696</v>
      </c>
      <c r="P67" s="60">
        <f>SUM(P66)</f>
        <v>1</v>
      </c>
      <c r="Q67" s="60">
        <f>SUM(O67:P67)</f>
        <v>697</v>
      </c>
      <c r="R67" s="62">
        <f>Q67-(Q67*0.04)</f>
        <v>669.12</v>
      </c>
      <c r="S67" s="62">
        <f>Q67+(Q67*0.04)</f>
        <v>724.88</v>
      </c>
      <c r="T67" s="44">
        <f>R67-(0.06*R67)</f>
        <v>628.97280000000001</v>
      </c>
      <c r="U67" s="62">
        <f>S67+(0.06*S67)</f>
        <v>768.37279999999998</v>
      </c>
      <c r="V67" s="63">
        <f>S67+(0.1*S67)</f>
        <v>797.36799999999994</v>
      </c>
    </row>
    <row r="68" spans="1:22" ht="15" customHeight="1" x14ac:dyDescent="0.25">
      <c r="A68" s="13">
        <v>10.1</v>
      </c>
      <c r="B68" s="120" t="s">
        <v>97</v>
      </c>
      <c r="C68" s="121" t="s">
        <v>98</v>
      </c>
      <c r="D68" s="121">
        <v>1</v>
      </c>
      <c r="E68" s="1" t="s">
        <v>99</v>
      </c>
      <c r="F68" s="1">
        <v>348</v>
      </c>
      <c r="G68" s="1" t="s">
        <v>48</v>
      </c>
      <c r="H68" s="1" t="s">
        <v>48</v>
      </c>
      <c r="I68" s="15">
        <v>440</v>
      </c>
      <c r="J68" s="15">
        <f>I68*K68</f>
        <v>440</v>
      </c>
      <c r="K68" s="1">
        <v>1</v>
      </c>
      <c r="L68" s="95" t="s">
        <v>50</v>
      </c>
      <c r="M68" s="77" t="s">
        <v>51</v>
      </c>
      <c r="O68" s="47">
        <f>(F68*J68)/1000</f>
        <v>153.12</v>
      </c>
      <c r="P68" s="47">
        <f>K68</f>
        <v>1</v>
      </c>
      <c r="Q68" s="117">
        <f>SUM(O68:P71)</f>
        <v>463.36</v>
      </c>
      <c r="R68" s="19"/>
      <c r="V68" s="20"/>
    </row>
    <row r="69" spans="1:22" ht="15" customHeight="1" x14ac:dyDescent="0.25">
      <c r="A69" s="21">
        <v>10.1</v>
      </c>
      <c r="B69" s="120"/>
      <c r="C69" s="121"/>
      <c r="D69" s="121"/>
      <c r="E69" s="23" t="s">
        <v>100</v>
      </c>
      <c r="F69" s="23">
        <v>348</v>
      </c>
      <c r="G69" s="23" t="s">
        <v>48</v>
      </c>
      <c r="H69" s="23" t="s">
        <v>48</v>
      </c>
      <c r="I69" s="25">
        <v>220</v>
      </c>
      <c r="J69" s="26">
        <f>I69*K69</f>
        <v>220</v>
      </c>
      <c r="K69" s="23">
        <v>1</v>
      </c>
      <c r="L69" s="65" t="s">
        <v>50</v>
      </c>
      <c r="M69" s="66" t="s">
        <v>51</v>
      </c>
      <c r="O69" s="47">
        <f>(F69*J69)/1000</f>
        <v>76.56</v>
      </c>
      <c r="P69" s="47">
        <f>K69</f>
        <v>1</v>
      </c>
      <c r="Q69" s="117"/>
      <c r="R69" s="19"/>
      <c r="V69" s="20"/>
    </row>
    <row r="70" spans="1:22" ht="15" customHeight="1" x14ac:dyDescent="0.25">
      <c r="A70" s="21">
        <v>10.1</v>
      </c>
      <c r="B70" s="120"/>
      <c r="C70" s="121"/>
      <c r="D70" s="121"/>
      <c r="E70" s="23" t="s">
        <v>101</v>
      </c>
      <c r="F70" s="23">
        <v>348</v>
      </c>
      <c r="G70" s="23" t="s">
        <v>48</v>
      </c>
      <c r="H70" s="23" t="s">
        <v>48</v>
      </c>
      <c r="I70" s="25">
        <v>440</v>
      </c>
      <c r="J70" s="26">
        <f>I70*K70</f>
        <v>440</v>
      </c>
      <c r="K70" s="23">
        <v>1</v>
      </c>
      <c r="L70" s="65" t="s">
        <v>50</v>
      </c>
      <c r="M70" s="66" t="s">
        <v>51</v>
      </c>
      <c r="O70" s="47">
        <f>(F70*J70)/1000</f>
        <v>153.12</v>
      </c>
      <c r="P70" s="47">
        <f>K70</f>
        <v>1</v>
      </c>
      <c r="Q70" s="117"/>
      <c r="R70" s="19"/>
      <c r="V70" s="20"/>
    </row>
    <row r="71" spans="1:22" ht="15" customHeight="1" x14ac:dyDescent="0.25">
      <c r="A71" s="50">
        <v>10.1</v>
      </c>
      <c r="B71" s="120"/>
      <c r="C71" s="121"/>
      <c r="D71" s="121"/>
      <c r="E71" s="3" t="s">
        <v>102</v>
      </c>
      <c r="F71" s="3">
        <v>348</v>
      </c>
      <c r="G71" s="3" t="s">
        <v>48</v>
      </c>
      <c r="H71" s="3" t="s">
        <v>48</v>
      </c>
      <c r="I71" s="30">
        <v>220</v>
      </c>
      <c r="J71" s="31">
        <f>I71*K71</f>
        <v>220</v>
      </c>
      <c r="K71" s="3">
        <v>1</v>
      </c>
      <c r="L71" s="96" t="s">
        <v>50</v>
      </c>
      <c r="M71" s="70" t="s">
        <v>51</v>
      </c>
      <c r="O71" s="47">
        <f>(F71*J71)/1000</f>
        <v>76.56</v>
      </c>
      <c r="P71" s="47">
        <f>K71</f>
        <v>1</v>
      </c>
      <c r="Q71" s="117"/>
      <c r="R71" s="19"/>
      <c r="V71" s="20"/>
    </row>
    <row r="72" spans="1:22" ht="15" customHeight="1" x14ac:dyDescent="0.25">
      <c r="A72" s="80">
        <v>10</v>
      </c>
      <c r="B72" s="81"/>
      <c r="C72" s="82"/>
      <c r="D72" s="82"/>
      <c r="E72" s="82"/>
      <c r="F72" s="82"/>
      <c r="G72" s="82"/>
      <c r="H72" s="82"/>
      <c r="I72" s="84"/>
      <c r="J72" s="84"/>
      <c r="K72" s="82">
        <f>SUM(K68:K71)</f>
        <v>4</v>
      </c>
      <c r="L72" s="83"/>
      <c r="M72" s="85"/>
      <c r="N72" s="59">
        <f>IFERROR(VLOOKUP(A72,[1]WHouse!$B$4:$G$18,6,0),"")</f>
        <v>0</v>
      </c>
      <c r="O72" s="60">
        <f>SUM(O68:O71)</f>
        <v>459.36</v>
      </c>
      <c r="P72" s="60">
        <f>SUM(P68:P71)</f>
        <v>4</v>
      </c>
      <c r="Q72" s="61">
        <f>SUM(O72:P72)</f>
        <v>463.36</v>
      </c>
      <c r="R72" s="62">
        <f>Q72-(Q72*0.04)</f>
        <v>444.82560000000001</v>
      </c>
      <c r="S72" s="62">
        <f>Q72+(Q72*0.04)</f>
        <v>481.89440000000002</v>
      </c>
      <c r="T72" s="44">
        <f>R72-(0.06*R72)</f>
        <v>418.13606400000003</v>
      </c>
      <c r="U72" s="62">
        <f>S72+(0.06*S72)</f>
        <v>510.808064</v>
      </c>
      <c r="V72" s="63">
        <f>S72+(0.1*S72)</f>
        <v>530.08384000000001</v>
      </c>
    </row>
    <row r="73" spans="1:22" ht="15" customHeight="1" x14ac:dyDescent="0.25">
      <c r="A73" s="86">
        <v>11</v>
      </c>
      <c r="B73" s="78" t="s">
        <v>103</v>
      </c>
      <c r="C73" s="78" t="s">
        <v>104</v>
      </c>
      <c r="D73" s="78">
        <v>1</v>
      </c>
      <c r="E73" s="78" t="s">
        <v>105</v>
      </c>
      <c r="F73" s="78">
        <v>348</v>
      </c>
      <c r="G73" s="78" t="s">
        <v>48</v>
      </c>
      <c r="H73" s="78" t="s">
        <v>48</v>
      </c>
      <c r="I73" s="87">
        <v>5000</v>
      </c>
      <c r="J73" s="87">
        <f>I73*K73</f>
        <v>5000</v>
      </c>
      <c r="K73" s="78">
        <v>1</v>
      </c>
      <c r="L73" s="88" t="s">
        <v>50</v>
      </c>
      <c r="M73" s="89" t="s">
        <v>51</v>
      </c>
      <c r="O73" s="47">
        <f>(F73*J73)/1000</f>
        <v>1740</v>
      </c>
      <c r="P73" s="47">
        <f>K73</f>
        <v>1</v>
      </c>
      <c r="Q73" s="47">
        <f>O73</f>
        <v>1740</v>
      </c>
      <c r="R73" s="19"/>
      <c r="V73" s="20"/>
    </row>
    <row r="74" spans="1:22" ht="15" customHeight="1" x14ac:dyDescent="0.25">
      <c r="A74" s="123">
        <v>12</v>
      </c>
      <c r="B74" s="121" t="s">
        <v>103</v>
      </c>
      <c r="C74" s="121" t="s">
        <v>46</v>
      </c>
      <c r="D74" s="121">
        <v>1</v>
      </c>
      <c r="E74" s="1" t="s">
        <v>106</v>
      </c>
      <c r="F74" s="1">
        <v>348</v>
      </c>
      <c r="G74" s="1" t="s">
        <v>48</v>
      </c>
      <c r="H74" s="1" t="s">
        <v>48</v>
      </c>
      <c r="I74" s="15">
        <v>3000</v>
      </c>
      <c r="J74" s="15">
        <f>I74*K74</f>
        <v>3000</v>
      </c>
      <c r="K74" s="1">
        <v>1</v>
      </c>
      <c r="L74" s="95" t="s">
        <v>50</v>
      </c>
      <c r="M74" s="77" t="s">
        <v>51</v>
      </c>
      <c r="O74" s="47">
        <f>(F74*J74)/1000</f>
        <v>1044</v>
      </c>
      <c r="P74" s="47">
        <f>K74</f>
        <v>1</v>
      </c>
      <c r="Q74" s="117">
        <f>SUM(O74:O75)</f>
        <v>2088</v>
      </c>
      <c r="R74" s="19"/>
      <c r="V74" s="20"/>
    </row>
    <row r="75" spans="1:22" ht="15" customHeight="1" x14ac:dyDescent="0.25">
      <c r="A75" s="123"/>
      <c r="B75" s="121"/>
      <c r="C75" s="121"/>
      <c r="D75" s="121"/>
      <c r="E75" s="3" t="s">
        <v>107</v>
      </c>
      <c r="F75" s="3">
        <v>348</v>
      </c>
      <c r="G75" s="3" t="s">
        <v>48</v>
      </c>
      <c r="H75" s="3" t="s">
        <v>48</v>
      </c>
      <c r="I75" s="30">
        <v>3000</v>
      </c>
      <c r="J75" s="31">
        <f>I75*K75</f>
        <v>3000</v>
      </c>
      <c r="K75" s="3">
        <v>1</v>
      </c>
      <c r="L75" s="96" t="s">
        <v>50</v>
      </c>
      <c r="M75" s="70" t="s">
        <v>51</v>
      </c>
      <c r="O75" s="47">
        <f>(F75*J75)/1000</f>
        <v>1044</v>
      </c>
      <c r="P75" s="47">
        <f>K75</f>
        <v>1</v>
      </c>
      <c r="Q75" s="117"/>
      <c r="R75" s="97"/>
      <c r="S75" s="98"/>
      <c r="T75" s="98"/>
      <c r="U75" s="98"/>
      <c r="V75" s="99"/>
    </row>
    <row r="76" spans="1:22" ht="15" customHeight="1" x14ac:dyDescent="0.25">
      <c r="A76" s="122" t="s">
        <v>108</v>
      </c>
      <c r="B76" s="122"/>
      <c r="C76" s="122"/>
      <c r="D76" s="122"/>
      <c r="E76" s="122"/>
      <c r="F76" s="122"/>
      <c r="G76" s="122"/>
      <c r="H76" s="122"/>
      <c r="I76" s="100"/>
      <c r="J76" s="101">
        <f>SUM(J6:J75)</f>
        <v>489380</v>
      </c>
      <c r="K76" s="100">
        <f>SUM(K6:K75)</f>
        <v>1101</v>
      </c>
      <c r="L76" s="102"/>
      <c r="M76" s="102"/>
    </row>
  </sheetData>
  <mergeCells count="72">
    <mergeCell ref="A76:H76"/>
    <mergeCell ref="A74:A75"/>
    <mergeCell ref="B74:B75"/>
    <mergeCell ref="C74:C75"/>
    <mergeCell ref="D74:D75"/>
    <mergeCell ref="Q74:Q75"/>
    <mergeCell ref="B59:B63"/>
    <mergeCell ref="C59:C63"/>
    <mergeCell ref="D59:D63"/>
    <mergeCell ref="Q59:Q64"/>
    <mergeCell ref="B68:B71"/>
    <mergeCell ref="C68:C71"/>
    <mergeCell ref="D68:D71"/>
    <mergeCell ref="Q68:Q71"/>
    <mergeCell ref="B50:B51"/>
    <mergeCell ref="C50:C51"/>
    <mergeCell ref="D50:D51"/>
    <mergeCell ref="Q50:Q51"/>
    <mergeCell ref="Q53:Q57"/>
    <mergeCell ref="B54:B57"/>
    <mergeCell ref="C54:C57"/>
    <mergeCell ref="D54:D57"/>
    <mergeCell ref="B41:B45"/>
    <mergeCell ref="C41:C45"/>
    <mergeCell ref="D41:D45"/>
    <mergeCell ref="Q41:Q48"/>
    <mergeCell ref="B46:B47"/>
    <mergeCell ref="C46:C47"/>
    <mergeCell ref="D46:D47"/>
    <mergeCell ref="Q22:Q27"/>
    <mergeCell ref="B23:B27"/>
    <mergeCell ref="C23:C27"/>
    <mergeCell ref="D23:D27"/>
    <mergeCell ref="B29:B37"/>
    <mergeCell ref="C29:C37"/>
    <mergeCell ref="D29:D37"/>
    <mergeCell ref="Q29:Q39"/>
    <mergeCell ref="B38:B39"/>
    <mergeCell ref="C38:C39"/>
    <mergeCell ref="D38:D39"/>
    <mergeCell ref="B15:B16"/>
    <mergeCell ref="C15:C16"/>
    <mergeCell ref="D15:D16"/>
    <mergeCell ref="Q15:Q20"/>
    <mergeCell ref="B17:B20"/>
    <mergeCell ref="C17:C20"/>
    <mergeCell ref="D17:D20"/>
    <mergeCell ref="T4:U4"/>
    <mergeCell ref="V4:V5"/>
    <mergeCell ref="Q6:Q13"/>
    <mergeCell ref="B9:B13"/>
    <mergeCell ref="C9:C13"/>
    <mergeCell ref="D9:D13"/>
    <mergeCell ref="N4:N5"/>
    <mergeCell ref="O4:O5"/>
    <mergeCell ref="P4:P5"/>
    <mergeCell ref="Q4:Q5"/>
    <mergeCell ref="R4:S4"/>
    <mergeCell ref="A1:M2"/>
    <mergeCell ref="A3:M3"/>
    <mergeCell ref="A4:A5"/>
    <mergeCell ref="B4:B5"/>
    <mergeCell ref="C4:C5"/>
    <mergeCell ref="D4:D5"/>
    <mergeCell ref="E4:F4"/>
    <mergeCell ref="G4:G5"/>
    <mergeCell ref="H4:H5"/>
    <mergeCell ref="I4:I5"/>
    <mergeCell ref="J4:J5"/>
    <mergeCell ref="K4:K5"/>
    <mergeCell ref="L4:L5"/>
    <mergeCell ref="M4:M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Sabar</dc:creator>
  <dc:description/>
  <cp:lastModifiedBy>K255_LOADINGWB</cp:lastModifiedBy>
  <cp:revision>1</cp:revision>
  <dcterms:created xsi:type="dcterms:W3CDTF">2025-07-01T04:51:41Z</dcterms:created>
  <dcterms:modified xsi:type="dcterms:W3CDTF">2026-07-06T01:26:14Z</dcterms:modified>
  <dc:language>en-US</dc:language>
</cp:coreProperties>
</file>