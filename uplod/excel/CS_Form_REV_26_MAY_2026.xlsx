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S Form (2)" sheetId="1" state="visible" r:id="rId3"/>
  </sheets>
  <externalReferences>
    <externalReference r:id="rId4"/>
  </externalReferences>
  <definedNames>
    <definedName function="false" hidden="false" name="Print_Area_MI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<sst xmlns="http://schemas.openxmlformats.org/spreadsheetml/2006/main" count="485" uniqueCount="189">
  <si>
    <t xml:space="preserve">di lock</t>
  </si>
  <si>
    <t xml:space="preserve">Kedatangan Truck</t>
  </si>
  <si>
    <t xml:space="preserve">Nama Customer</t>
  </si>
  <si>
    <t xml:space="preserve">Area</t>
  </si>
  <si>
    <t xml:space="preserve">Urutan Bongkar</t>
  </si>
  <si>
    <t xml:space="preserve">No SO</t>
  </si>
  <si>
    <t xml:space="preserve">MID</t>
  </si>
  <si>
    <t xml:space="preserve">Item Desc</t>
  </si>
  <si>
    <t xml:space="preserve">Color</t>
  </si>
  <si>
    <t xml:space="preserve">Pattern Nose</t>
  </si>
  <si>
    <t xml:space="preserve">Qty/(Box/pallet)</t>
  </si>
  <si>
    <t xml:space="preserve">Qty/Pcs</t>
  </si>
  <si>
    <t xml:space="preserve">Qty Box / pallet</t>
  </si>
  <si>
    <t xml:space="preserve">Status</t>
  </si>
  <si>
    <t xml:space="preserve">Waktu Muat</t>
  </si>
  <si>
    <t xml:space="preserve">BERAT TOTAL (Kg)</t>
  </si>
  <si>
    <t xml:space="preserve">BERAT box (Kg)</t>
  </si>
  <si>
    <t xml:space="preserve">BERAT ISI TRUCK</t>
  </si>
  <si>
    <t xml:space="preserve">NORMAL</t>
  </si>
  <si>
    <t xml:space="preserve">TOLERANSI</t>
  </si>
  <si>
    <t xml:space="preserve">WARNING</t>
  </si>
  <si>
    <t xml:space="preserve">type</t>
  </si>
  <si>
    <t xml:space="preserve">weight</t>
  </si>
  <si>
    <t xml:space="preserve">Min</t>
  </si>
  <si>
    <t xml:space="preserve">Max</t>
  </si>
  <si>
    <t xml:space="preserve">ASIAN COTTON INDUSTRY, PT.</t>
  </si>
  <si>
    <t xml:space="preserve">Bandung</t>
  </si>
  <si>
    <t xml:space="preserve">2000063159</t>
  </si>
  <si>
    <t xml:space="preserve">142.5323.038</t>
  </si>
  <si>
    <t xml:space="preserve">Cone 5'32</t>
  </si>
  <si>
    <t xml:space="preserve">No Color</t>
  </si>
  <si>
    <t xml:space="preserve">No Pattern</t>
  </si>
  <si>
    <t xml:space="preserve">Stock Ready</t>
  </si>
  <si>
    <t xml:space="preserve">Muat Gantung</t>
  </si>
  <si>
    <t xml:space="preserve">KONDOBO  TEXTINDO, PT.</t>
  </si>
  <si>
    <t xml:space="preserve">Subang</t>
  </si>
  <si>
    <t xml:space="preserve">2000062058</t>
  </si>
  <si>
    <t xml:space="preserve">055.5509.036</t>
  </si>
  <si>
    <t xml:space="preserve">Cone 5'57</t>
  </si>
  <si>
    <t xml:space="preserve">Brown</t>
  </si>
  <si>
    <t xml:space="preserve">Solid</t>
  </si>
  <si>
    <t xml:space="preserve">PtT. ABC</t>
  </si>
  <si>
    <t xml:space="preserve">2000059825</t>
  </si>
  <si>
    <t xml:space="preserve">010.3310.090</t>
  </si>
  <si>
    <t xml:space="preserve">Cone 3'30</t>
  </si>
  <si>
    <t xml:space="preserve">Netral</t>
  </si>
  <si>
    <t xml:space="preserve">Tip Solid</t>
  </si>
  <si>
    <t xml:space="preserve">2000059831</t>
  </si>
  <si>
    <t xml:space="preserve">2000060035</t>
  </si>
  <si>
    <t xml:space="preserve">010.4214.038</t>
  </si>
  <si>
    <t xml:space="preserve">Cone 4'20</t>
  </si>
  <si>
    <t xml:space="preserve">Blue</t>
  </si>
  <si>
    <t xml:space="preserve">Clubs</t>
  </si>
  <si>
    <t xml:space="preserve">2000060751</t>
  </si>
  <si>
    <t xml:space="preserve">010.4211.038</t>
  </si>
  <si>
    <t xml:space="preserve">Cone 4'20 </t>
  </si>
  <si>
    <t xml:space="preserve">Lime</t>
  </si>
  <si>
    <t xml:space="preserve">Star</t>
  </si>
  <si>
    <t xml:space="preserve">2000061305</t>
  </si>
  <si>
    <t xml:space="preserve">Green</t>
  </si>
  <si>
    <t xml:space="preserve">Cactus</t>
  </si>
  <si>
    <t xml:space="preserve">DONG-IL INDONESIA , PT.</t>
  </si>
  <si>
    <t xml:space="preserve">Bekasi</t>
  </si>
  <si>
    <t xml:space="preserve">2000062806</t>
  </si>
  <si>
    <t xml:space="preserve">137.3302.013</t>
  </si>
  <si>
    <t xml:space="preserve">Cone 3'30 </t>
  </si>
  <si>
    <t xml:space="preserve">(blank)</t>
  </si>
  <si>
    <t xml:space="preserve">TIP ECO MARATHON</t>
  </si>
  <si>
    <t xml:space="preserve">On Production</t>
  </si>
  <si>
    <t xml:space="preserve">Muat Pagi</t>
  </si>
  <si>
    <t xml:space="preserve">2000063174</t>
  </si>
  <si>
    <t xml:space="preserve">GOKAK INDONESIA, PT. Total</t>
  </si>
  <si>
    <t xml:space="preserve">Bogor</t>
  </si>
  <si>
    <t xml:space="preserve">2000062778</t>
  </si>
  <si>
    <t xml:space="preserve">041.5517.040</t>
  </si>
  <si>
    <t xml:space="preserve">Diamond</t>
  </si>
  <si>
    <t xml:space="preserve">2000061116</t>
  </si>
  <si>
    <t xml:space="preserve">041.0001.050</t>
  </si>
  <si>
    <t xml:space="preserve">Tube  50</t>
  </si>
  <si>
    <t xml:space="preserve">Full Body</t>
  </si>
  <si>
    <t xml:space="preserve">2000050965</t>
  </si>
  <si>
    <t xml:space="preserve">041.0002.050</t>
  </si>
  <si>
    <t xml:space="preserve">2000062836</t>
  </si>
  <si>
    <t xml:space="preserve">GUNZE INDONESIA,PT</t>
  </si>
  <si>
    <t xml:space="preserve">2000062857</t>
  </si>
  <si>
    <t xml:space="preserve">065.3306.030</t>
  </si>
  <si>
    <t xml:space="preserve">INDO LIBERTY TEXTILES, PT.</t>
  </si>
  <si>
    <t xml:space="preserve">Karawang</t>
  </si>
  <si>
    <t xml:space="preserve">2000061986</t>
  </si>
  <si>
    <t xml:space="preserve">032.3303.028</t>
  </si>
  <si>
    <t xml:space="preserve">White</t>
  </si>
  <si>
    <t xml:space="preserve">Ready Stock</t>
  </si>
  <si>
    <t xml:space="preserve">2000062644</t>
  </si>
  <si>
    <t xml:space="preserve">032.4217.040</t>
  </si>
  <si>
    <t xml:space="preserve">Yellow</t>
  </si>
  <si>
    <t xml:space="preserve">2000063032</t>
  </si>
  <si>
    <t xml:space="preserve">032.4202.040</t>
  </si>
  <si>
    <t xml:space="preserve">Horison</t>
  </si>
  <si>
    <t xml:space="preserve">Grey</t>
  </si>
  <si>
    <t xml:space="preserve">Violet</t>
  </si>
  <si>
    <t xml:space="preserve">4,1</t>
  </si>
  <si>
    <t xml:space="preserve">EMBEE PLUMBON TEKSTIL, PT.</t>
  </si>
  <si>
    <t xml:space="preserve">Majalengka</t>
  </si>
  <si>
    <t xml:space="preserve">2000060938</t>
  </si>
  <si>
    <t xml:space="preserve">058.4217.042</t>
  </si>
  <si>
    <t xml:space="preserve">2000061549</t>
  </si>
  <si>
    <t xml:space="preserve">Slash</t>
  </si>
  <si>
    <t xml:space="preserve">2000061853</t>
  </si>
  <si>
    <t xml:space="preserve">Orange</t>
  </si>
  <si>
    <t xml:space="preserve">2000062885</t>
  </si>
  <si>
    <t xml:space="preserve">Hearts</t>
  </si>
  <si>
    <t xml:space="preserve">2000063024</t>
  </si>
  <si>
    <t xml:space="preserve">Black</t>
  </si>
  <si>
    <t xml:space="preserve">Triangle</t>
  </si>
  <si>
    <t xml:space="preserve">PLUMBON INTERNATIONAL TEXTILE</t>
  </si>
  <si>
    <t xml:space="preserve">Cirebon</t>
  </si>
  <si>
    <t xml:space="preserve">2000062856</t>
  </si>
  <si>
    <t xml:space="preserve">251.4204.040</t>
  </si>
  <si>
    <t xml:space="preserve">2000063020</t>
  </si>
  <si>
    <t xml:space="preserve">ELEGANT TEXTILE INDUSTRY, PT.</t>
  </si>
  <si>
    <t xml:space="preserve">Purwakarta</t>
  </si>
  <si>
    <t xml:space="preserve">2000061903</t>
  </si>
  <si>
    <t xml:space="preserve">020.3306.030</t>
  </si>
  <si>
    <t xml:space="preserve">Red</t>
  </si>
  <si>
    <t xml:space="preserve">Dots</t>
  </si>
  <si>
    <t xml:space="preserve">2000062019</t>
  </si>
  <si>
    <t xml:space="preserve">2000063210</t>
  </si>
  <si>
    <t xml:space="preserve">020.3305.030</t>
  </si>
  <si>
    <t xml:space="preserve">Question</t>
  </si>
  <si>
    <t xml:space="preserve">Pink</t>
  </si>
  <si>
    <t xml:space="preserve">SUNRISE BUMI TEXTILES, PT. Total</t>
  </si>
  <si>
    <t xml:space="preserve">2000060896</t>
  </si>
  <si>
    <t xml:space="preserve">002.4215.040</t>
  </si>
  <si>
    <t xml:space="preserve">2000062932</t>
  </si>
  <si>
    <t xml:space="preserve">002.4220.040</t>
  </si>
  <si>
    <t xml:space="preserve">INDO-RAMA SYNTHETICS Jatiluhur</t>
  </si>
  <si>
    <t xml:space="preserve">2000063160</t>
  </si>
  <si>
    <t xml:space="preserve">001.4203.040</t>
  </si>
  <si>
    <t xml:space="preserve">PT. BUKIT MURIA JAYA</t>
  </si>
  <si>
    <t xml:space="preserve">2000063118</t>
  </si>
  <si>
    <t xml:space="preserve">533.0010.230</t>
  </si>
  <si>
    <t xml:space="preserve">PAPER CORE,ID152,4MM,70MM,8MM</t>
  </si>
  <si>
    <t xml:space="preserve">533.0012.237</t>
  </si>
  <si>
    <t xml:space="preserve">PAPER CORE,ID76,5MM,140MM,8MM</t>
  </si>
  <si>
    <t xml:space="preserve">CV. SINAR KARTON</t>
  </si>
  <si>
    <t xml:space="preserve">2000063162</t>
  </si>
  <si>
    <t xml:space="preserve">PEB0303031000</t>
  </si>
  <si>
    <t xml:space="preserve">EDGE BOARD 30 X 30 X 3 X 1000 MM</t>
  </si>
  <si>
    <t xml:space="preserve">KAHATEX, PT. Total</t>
  </si>
  <si>
    <t xml:space="preserve">2000063134</t>
  </si>
  <si>
    <t xml:space="preserve">003.4212.040</t>
  </si>
  <si>
    <t xml:space="preserve">Tick</t>
  </si>
  <si>
    <t xml:space="preserve">PT. SPINMILL INDAH INDUSTRY Total</t>
  </si>
  <si>
    <t xml:space="preserve">Tangerang</t>
  </si>
  <si>
    <t xml:space="preserve">2000062145</t>
  </si>
  <si>
    <t xml:space="preserve">116.4217.042</t>
  </si>
  <si>
    <t xml:space="preserve">2000062784</t>
  </si>
  <si>
    <t xml:space="preserve">2000063063</t>
  </si>
  <si>
    <t xml:space="preserve">2000063064</t>
  </si>
  <si>
    <t xml:space="preserve">GEMILANG MAJU TEXINDOTAMA, PT.</t>
  </si>
  <si>
    <t xml:space="preserve">2000062158</t>
  </si>
  <si>
    <t xml:space="preserve">174.0002.067</t>
  </si>
  <si>
    <t xml:space="preserve">Tube  67</t>
  </si>
  <si>
    <t xml:space="preserve">Tunas Mitra Sukses PT</t>
  </si>
  <si>
    <t xml:space="preserve">2000063122</t>
  </si>
  <si>
    <t xml:space="preserve">PEB0505032400</t>
  </si>
  <si>
    <t xml:space="preserve">EDGE BOARD 50 X 50 X 3 X 2400 MM</t>
  </si>
  <si>
    <t xml:space="preserve">PT. KARYA PUTRA SUKSES </t>
  </si>
  <si>
    <t xml:space="preserve">Jakarta Barat</t>
  </si>
  <si>
    <t xml:space="preserve">2000063103</t>
  </si>
  <si>
    <t xml:space="preserve">PEB0505030122</t>
  </si>
  <si>
    <t xml:space="preserve">EDGE BOARD 50 X 50 X 3 X 122 MM</t>
  </si>
  <si>
    <t xml:space="preserve">PEB0505030140</t>
  </si>
  <si>
    <t xml:space="preserve">EDGE BOARD 50 X 50 X 3 X 140 MM</t>
  </si>
  <si>
    <t xml:space="preserve">PEB0505030188</t>
  </si>
  <si>
    <t xml:space="preserve">EDGE BOARD 50 X 50 X 3 X 188 MM</t>
  </si>
  <si>
    <t xml:space="preserve">PEB0505030207</t>
  </si>
  <si>
    <t xml:space="preserve">EDGE BOARD 50 X 50 X 3 X 207 MM</t>
  </si>
  <si>
    <t xml:space="preserve">SINERGI ANDALAN MADANI</t>
  </si>
  <si>
    <t xml:space="preserve">Cileungsi</t>
  </si>
  <si>
    <t xml:space="preserve">2000062952</t>
  </si>
  <si>
    <t xml:space="preserve">PEB0505051000</t>
  </si>
  <si>
    <t xml:space="preserve">EDGE BOARD 50 X 50 X 5 X 1000 MM</t>
  </si>
  <si>
    <t xml:space="preserve">2000063070</t>
  </si>
  <si>
    <t xml:space="preserve">PEC0404032140</t>
  </si>
  <si>
    <t xml:space="preserve">EDGE BOARD 40 X 40 X 3 X 2140 MM</t>
  </si>
  <si>
    <t xml:space="preserve">PEC0404032300</t>
  </si>
  <si>
    <t xml:space="preserve">EDGE BOARD 40 X 40 X 3 X 2300 MM</t>
  </si>
  <si>
    <t xml:space="preserve">TOTAL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</si>
</sst>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_-* #,##0_-;\-* #,##0_-;_-* \-_-;_-@_-"/>
    <numFmt numFmtId="167" formatCode="_(* #,##0_);_(* \(#,##0\);_(* \-??_);_(@_)"/>
    <numFmt numFmtId="168" formatCode="[$-F800]dddd&quot;, &quot;mmmm\ dd&quot;, &quot;yyyy"/>
    <numFmt numFmtId="169" formatCode="0"/>
    <numFmt numFmtId="170" formatCode="General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8"/>
      <color theme="1"/>
      <name val="Calibri"/>
      <family val="2"/>
      <charset val="1"/>
    </font>
    <font>
      <b val="true"/>
      <sz val="8"/>
      <color theme="1"/>
      <name val="Aptos Narrow"/>
      <family val="2"/>
      <charset val="1"/>
    </font>
    <font>
      <sz val="9"/>
      <color theme="1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sz val="6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theme="1"/>
      <name val="Aptos Narrow"/>
      <family val="2"/>
      <charset val="1"/>
    </font>
    <font>
      <b val="true"/>
      <sz val="6"/>
      <color theme="1"/>
      <name val="Calibri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A6CAEC"/>
      </patternFill>
    </fill>
    <fill>
      <patternFill patternType="solid">
        <fgColor theme="3" tint="0.7499"/>
        <bgColor rgb="FF9CC2E5"/>
      </patternFill>
    </fill>
    <fill>
      <patternFill patternType="solid">
        <fgColor rgb="FFFF0000"/>
        <bgColor rgb="FF993300"/>
      </patternFill>
    </fill>
    <fill>
      <patternFill patternType="solid">
        <fgColor rgb="FF92D050"/>
        <bgColor rgb="FF969696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3" borderId="2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3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4" borderId="3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5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3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6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7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8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5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5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1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2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3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4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5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2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6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6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8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19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2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8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1" fillId="3" borderId="2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1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11" fillId="3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1" fillId="3" borderId="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3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3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6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1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2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2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23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6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4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3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2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0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3" borderId="2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1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14" fillId="3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4" fillId="3" borderId="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3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3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6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2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2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2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6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16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4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9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8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0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21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1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11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2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5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5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3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17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7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7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3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8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6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5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2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25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7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0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8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8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3" borderId="2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9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11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16" xfId="2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4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23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[0] 2" xfId="21"/>
    <cellStyle name="Normal 2" xfId="22"/>
    <cellStyle name="Normal 2 2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CC2E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personal/mulyanto_djuhardi_sonoco_com/Documents/Documents/Trucking%20Cs%20n%20Whouse/WHouse02B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ecurity"/>
      <sheetName val="No Truck"/>
      <sheetName val="WHouse"/>
      <sheetName val="MonitorWhs"/>
      <sheetName val="CS"/>
      <sheetName val="Data"/>
      <sheetName val="Weight tolerance"/>
      <sheetName val="CS Form"/>
    </sheetNames>
    <sheetDataSet>
      <sheetData sheetId="0"/>
      <sheetData sheetId="1"/>
      <sheetData sheetId="2">
        <row r="4">
          <cell r="B4">
            <v>1</v>
          </cell>
          <cell r="C4" t="str">
            <v>45882-1</v>
          </cell>
          <cell r="D4" t="str">
            <v>B 2002 RI</v>
          </cell>
          <cell r="E4">
            <v>90</v>
          </cell>
          <cell r="F4">
            <v>2641.5</v>
          </cell>
          <cell r="G4" t="str">
            <v>Finish</v>
          </cell>
        </row>
        <row r="5">
          <cell r="B5">
            <v>2</v>
          </cell>
          <cell r="C5" t="str">
            <v>45882-2</v>
          </cell>
          <cell r="D5" t="str">
            <v>B 3003 RI</v>
          </cell>
          <cell r="E5">
            <v>77</v>
          </cell>
          <cell r="F5">
            <v>1987.784</v>
          </cell>
          <cell r="G5" t="str">
            <v>Finish</v>
          </cell>
        </row>
        <row r="6">
          <cell r="B6">
            <v>3</v>
          </cell>
          <cell r="C6" t="str">
            <v>45882-3</v>
          </cell>
          <cell r="D6" t="str">
            <v>B 1001 RI</v>
          </cell>
          <cell r="E6">
            <v>81</v>
          </cell>
          <cell r="F6">
            <v>2767.272</v>
          </cell>
          <cell r="G6" t="str">
            <v>Finish</v>
          </cell>
        </row>
        <row r="7">
          <cell r="B7">
            <v>4</v>
          </cell>
          <cell r="C7" t="str">
            <v>45882-4</v>
          </cell>
          <cell r="D7">
            <v>0</v>
          </cell>
        </row>
        <row r="8">
          <cell r="B8">
            <v>5</v>
          </cell>
          <cell r="C8" t="str">
            <v>45882-5</v>
          </cell>
          <cell r="D8">
            <v>0</v>
          </cell>
        </row>
        <row r="9">
          <cell r="B9">
            <v>6</v>
          </cell>
          <cell r="C9" t="str">
            <v>45882-6</v>
          </cell>
          <cell r="D9">
            <v>0</v>
          </cell>
        </row>
        <row r="10">
          <cell r="B10">
            <v>7</v>
          </cell>
          <cell r="C10" t="str">
            <v>45882-7</v>
          </cell>
          <cell r="D10">
            <v>0</v>
          </cell>
        </row>
        <row r="11">
          <cell r="B11">
            <v>8</v>
          </cell>
          <cell r="C11" t="str">
            <v>45882-8</v>
          </cell>
          <cell r="D11">
            <v>0</v>
          </cell>
        </row>
        <row r="12">
          <cell r="B12">
            <v>9</v>
          </cell>
          <cell r="C12" t="str">
            <v>45882-9</v>
          </cell>
          <cell r="D12">
            <v>0</v>
          </cell>
        </row>
        <row r="13">
          <cell r="B13">
            <v>10</v>
          </cell>
          <cell r="C13" t="str">
            <v>45882-10</v>
          </cell>
          <cell r="D13">
            <v>0</v>
          </cell>
        </row>
        <row r="14">
          <cell r="B14">
            <v>11</v>
          </cell>
          <cell r="C14" t="str">
            <v>45882-11</v>
          </cell>
          <cell r="D14">
            <v>0</v>
          </cell>
        </row>
        <row r="15">
          <cell r="B15">
            <v>12</v>
          </cell>
          <cell r="C15" t="str">
            <v>45882-12</v>
          </cell>
          <cell r="D15">
            <v>0</v>
          </cell>
        </row>
        <row r="16">
          <cell r="B16">
            <v>13</v>
          </cell>
          <cell r="C16" t="str">
            <v>45882-13</v>
          </cell>
          <cell r="D16">
            <v>0</v>
          </cell>
        </row>
        <row r="17">
          <cell r="B17">
            <v>14</v>
          </cell>
          <cell r="C17" t="str">
            <v>45882-14</v>
          </cell>
          <cell r="D17">
            <v>0</v>
          </cell>
        </row>
        <row r="18">
          <cell r="B18">
            <v>15</v>
          </cell>
          <cell r="C18" t="str">
            <v>45882-15</v>
          </cell>
          <cell r="D18">
            <v>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W74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9.18359375" defaultRowHeight="15" zeroHeight="false" outlineLevelRow="0" outlineLevelCol="0"/>
  <cols>
    <col collapsed="false" customWidth="true" hidden="false" outlineLevel="0" max="1" min="1" style="1" width="11.82"/>
    <col collapsed="false" customWidth="true" hidden="false" outlineLevel="0" max="2" min="2" style="1" width="24.45"/>
    <col collapsed="false" customWidth="true" hidden="false" outlineLevel="0" max="3" min="3" style="1" width="10.45"/>
    <col collapsed="false" customWidth="true" hidden="false" outlineLevel="0" max="4" min="4" style="1" width="12.18"/>
    <col collapsed="false" customWidth="true" hidden="false" outlineLevel="0" max="5" min="5" style="1" width="10.73"/>
    <col collapsed="false" customWidth="true" hidden="false" outlineLevel="0" max="6" min="6" style="1" width="14.54"/>
    <col collapsed="false" customWidth="true" hidden="false" outlineLevel="0" max="7" min="7" style="1" width="23.82"/>
    <col collapsed="false" customWidth="true" hidden="false" outlineLevel="0" max="8" min="8" style="1" width="5.45"/>
    <col collapsed="false" customWidth="true" hidden="false" outlineLevel="0" max="9" min="9" style="1" width="12.18"/>
    <col collapsed="false" customWidth="true" hidden="false" outlineLevel="0" max="10" min="10" style="1" width="14.54"/>
    <col collapsed="false" customWidth="false" hidden="false" outlineLevel="0" max="11" min="11" style="1" width="9.18"/>
    <col collapsed="false" customWidth="true" hidden="false" outlineLevel="0" max="12" min="12" style="1" width="11.54"/>
    <col collapsed="false" customWidth="true" hidden="false" outlineLevel="0" max="13" min="13" style="1" width="8.18"/>
    <col collapsed="false" customWidth="true" hidden="false" outlineLevel="0" max="15" min="14" style="1" width="9.82"/>
    <col collapsed="false" customWidth="true" hidden="false" outlineLevel="0" max="16" min="16" style="2" width="7.09"/>
    <col collapsed="false" customWidth="false" hidden="false" outlineLevel="0" max="19" min="17" style="1" width="9.18"/>
    <col collapsed="false" customWidth="false" hidden="false" outlineLevel="0" max="21" min="20" style="3" width="9.18"/>
    <col collapsed="false" customWidth="true" hidden="false" outlineLevel="0" max="22" min="22" style="3" width="10.37"/>
    <col collapsed="false" customWidth="true" hidden="false" outlineLevel="0" max="23" min="23" style="3" width="10.09"/>
    <col collapsed="false" customWidth="false" hidden="false" outlineLevel="0" max="16384" min="24" style="1" width="9.18"/>
  </cols>
  <sheetData>
    <row r="1" customFormat="false" ht="15" hidden="false" customHeight="true" outlineLevel="0" collapsed="false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V1" s="3" t="n">
        <v>22</v>
      </c>
      <c r="W1" s="3" t="n">
        <v>23</v>
      </c>
    </row>
    <row r="2" customFormat="false" ht="15" hidden="false" customHeight="true" outlineLevel="0" collapsed="false">
      <c r="A2" s="5" t="n">
        <v>46181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</row>
    <row r="3" customFormat="false" ht="15" hidden="false" customHeight="true" outlineLevel="0" collapsed="false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6" t="s">
        <v>6</v>
      </c>
      <c r="G3" s="8" t="s">
        <v>7</v>
      </c>
      <c r="H3" s="8"/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9" t="s">
        <v>13</v>
      </c>
      <c r="Q3" s="8" t="s">
        <v>15</v>
      </c>
      <c r="R3" s="8" t="s">
        <v>16</v>
      </c>
      <c r="S3" s="8" t="s">
        <v>17</v>
      </c>
      <c r="T3" s="10" t="s">
        <v>18</v>
      </c>
      <c r="U3" s="10"/>
      <c r="V3" s="11" t="s">
        <v>19</v>
      </c>
      <c r="W3" s="12" t="s">
        <v>20</v>
      </c>
    </row>
    <row r="4" customFormat="false" ht="15" hidden="false" customHeight="true" outlineLevel="0" collapsed="false">
      <c r="A4" s="6"/>
      <c r="B4" s="6"/>
      <c r="C4" s="7"/>
      <c r="D4" s="7"/>
      <c r="E4" s="7"/>
      <c r="F4" s="6"/>
      <c r="G4" s="13" t="s">
        <v>21</v>
      </c>
      <c r="H4" s="14" t="s">
        <v>22</v>
      </c>
      <c r="I4" s="8"/>
      <c r="J4" s="8"/>
      <c r="K4" s="8"/>
      <c r="L4" s="8"/>
      <c r="M4" s="8"/>
      <c r="N4" s="8"/>
      <c r="O4" s="8"/>
      <c r="P4" s="9"/>
      <c r="Q4" s="8"/>
      <c r="R4" s="8"/>
      <c r="S4" s="8"/>
      <c r="T4" s="15" t="s">
        <v>23</v>
      </c>
      <c r="U4" s="16" t="s">
        <v>24</v>
      </c>
      <c r="V4" s="11"/>
      <c r="W4" s="12"/>
    </row>
    <row r="5" customFormat="false" ht="15" hidden="false" customHeight="true" outlineLevel="0" collapsed="false">
      <c r="A5" s="17" t="n">
        <v>1.1</v>
      </c>
      <c r="B5" s="18" t="s">
        <v>25</v>
      </c>
      <c r="C5" s="19" t="s">
        <v>26</v>
      </c>
      <c r="D5" s="19" t="n">
        <v>1</v>
      </c>
      <c r="E5" s="19" t="s">
        <v>27</v>
      </c>
      <c r="F5" s="20" t="s">
        <v>28</v>
      </c>
      <c r="G5" s="19" t="s">
        <v>29</v>
      </c>
      <c r="H5" s="19" t="n">
        <v>38</v>
      </c>
      <c r="I5" s="19" t="s">
        <v>30</v>
      </c>
      <c r="J5" s="19" t="s">
        <v>31</v>
      </c>
      <c r="K5" s="21" t="n">
        <v>1008</v>
      </c>
      <c r="L5" s="21" t="n">
        <f aca="false">K5*M5</f>
        <v>10080</v>
      </c>
      <c r="M5" s="19" t="n">
        <v>10</v>
      </c>
      <c r="N5" s="22" t="s">
        <v>32</v>
      </c>
      <c r="O5" s="23" t="s">
        <v>33</v>
      </c>
      <c r="Q5" s="24" t="n">
        <f aca="false">(H5*L5)/1000</f>
        <v>383.04</v>
      </c>
      <c r="R5" s="24" t="n">
        <f aca="false">M5</f>
        <v>10</v>
      </c>
      <c r="S5" s="25" t="n">
        <f aca="false">SUM(Q5:R11)</f>
        <v>2641.5</v>
      </c>
      <c r="T5" s="26"/>
      <c r="W5" s="27"/>
    </row>
    <row r="6" customFormat="false" ht="15" hidden="false" customHeight="true" outlineLevel="0" collapsed="false">
      <c r="A6" s="28" t="n">
        <v>1.2</v>
      </c>
      <c r="B6" s="29" t="s">
        <v>34</v>
      </c>
      <c r="C6" s="30" t="s">
        <v>35</v>
      </c>
      <c r="D6" s="30" t="n">
        <v>3</v>
      </c>
      <c r="E6" s="30" t="s">
        <v>36</v>
      </c>
      <c r="F6" s="31" t="s">
        <v>37</v>
      </c>
      <c r="G6" s="30" t="s">
        <v>38</v>
      </c>
      <c r="H6" s="30" t="n">
        <v>36</v>
      </c>
      <c r="I6" s="30" t="s">
        <v>39</v>
      </c>
      <c r="J6" s="30" t="s">
        <v>40</v>
      </c>
      <c r="K6" s="32" t="n">
        <v>1024</v>
      </c>
      <c r="L6" s="33" t="n">
        <f aca="false">K6*M6</f>
        <v>10240</v>
      </c>
      <c r="M6" s="30" t="n">
        <v>10</v>
      </c>
      <c r="N6" s="34" t="s">
        <v>32</v>
      </c>
      <c r="O6" s="35" t="s">
        <v>33</v>
      </c>
      <c r="Q6" s="24" t="n">
        <f aca="false">(H6*L6)/1000</f>
        <v>368.64</v>
      </c>
      <c r="R6" s="24" t="n">
        <f aca="false">M6</f>
        <v>10</v>
      </c>
      <c r="S6" s="25"/>
      <c r="T6" s="26"/>
      <c r="W6" s="27"/>
    </row>
    <row r="7" customFormat="false" ht="15" hidden="false" customHeight="true" outlineLevel="0" collapsed="false">
      <c r="A7" s="28" t="n">
        <v>1.3</v>
      </c>
      <c r="B7" s="36" t="s">
        <v>41</v>
      </c>
      <c r="C7" s="37" t="s">
        <v>26</v>
      </c>
      <c r="D7" s="37" t="n">
        <v>2</v>
      </c>
      <c r="E7" s="30" t="s">
        <v>42</v>
      </c>
      <c r="F7" s="31" t="s">
        <v>43</v>
      </c>
      <c r="G7" s="30" t="s">
        <v>44</v>
      </c>
      <c r="H7" s="30" t="n">
        <v>90</v>
      </c>
      <c r="I7" s="30" t="s">
        <v>45</v>
      </c>
      <c r="J7" s="30" t="s">
        <v>46</v>
      </c>
      <c r="K7" s="32" t="n">
        <v>390</v>
      </c>
      <c r="L7" s="33" t="n">
        <f aca="false">K7*M7</f>
        <v>3900</v>
      </c>
      <c r="M7" s="30" t="n">
        <v>10</v>
      </c>
      <c r="N7" s="34" t="s">
        <v>32</v>
      </c>
      <c r="O7" s="35" t="s">
        <v>33</v>
      </c>
      <c r="Q7" s="24" t="n">
        <f aca="false">(H7*L7)/1000</f>
        <v>351</v>
      </c>
      <c r="R7" s="24" t="n">
        <f aca="false">M7</f>
        <v>10</v>
      </c>
      <c r="S7" s="25"/>
      <c r="T7" s="26"/>
      <c r="W7" s="27"/>
    </row>
    <row r="8" customFormat="false" ht="15" hidden="false" customHeight="true" outlineLevel="0" collapsed="false">
      <c r="A8" s="28" t="n">
        <v>1.3</v>
      </c>
      <c r="B8" s="36"/>
      <c r="C8" s="37"/>
      <c r="D8" s="37"/>
      <c r="E8" s="30" t="s">
        <v>47</v>
      </c>
      <c r="F8" s="31" t="s">
        <v>43</v>
      </c>
      <c r="G8" s="30" t="s">
        <v>44</v>
      </c>
      <c r="H8" s="30" t="n">
        <v>90</v>
      </c>
      <c r="I8" s="30" t="s">
        <v>45</v>
      </c>
      <c r="J8" s="30" t="s">
        <v>46</v>
      </c>
      <c r="K8" s="32" t="n">
        <v>390</v>
      </c>
      <c r="L8" s="33" t="n">
        <f aca="false">K8*M8</f>
        <v>3900</v>
      </c>
      <c r="M8" s="30" t="n">
        <v>10</v>
      </c>
      <c r="N8" s="34" t="s">
        <v>32</v>
      </c>
      <c r="O8" s="35" t="s">
        <v>33</v>
      </c>
      <c r="Q8" s="24" t="n">
        <f aca="false">(H8*L8)/1000</f>
        <v>351</v>
      </c>
      <c r="R8" s="24" t="n">
        <f aca="false">M8</f>
        <v>10</v>
      </c>
      <c r="S8" s="25"/>
      <c r="T8" s="26"/>
      <c r="W8" s="27"/>
    </row>
    <row r="9" customFormat="false" ht="15" hidden="false" customHeight="true" outlineLevel="0" collapsed="false">
      <c r="A9" s="28" t="n">
        <v>1.3</v>
      </c>
      <c r="B9" s="36"/>
      <c r="C9" s="37"/>
      <c r="D9" s="37"/>
      <c r="E9" s="30" t="s">
        <v>48</v>
      </c>
      <c r="F9" s="31" t="s">
        <v>49</v>
      </c>
      <c r="G9" s="30" t="s">
        <v>50</v>
      </c>
      <c r="H9" s="30" t="n">
        <v>38</v>
      </c>
      <c r="I9" s="30" t="s">
        <v>51</v>
      </c>
      <c r="J9" s="30" t="s">
        <v>52</v>
      </c>
      <c r="K9" s="32" t="n">
        <v>588</v>
      </c>
      <c r="L9" s="33" t="n">
        <f aca="false">K9*M9</f>
        <v>5880</v>
      </c>
      <c r="M9" s="30" t="n">
        <v>10</v>
      </c>
      <c r="N9" s="38" t="s">
        <v>32</v>
      </c>
      <c r="O9" s="35" t="s">
        <v>33</v>
      </c>
      <c r="Q9" s="24" t="n">
        <f aca="false">(H9*L9)/1000</f>
        <v>223.44</v>
      </c>
      <c r="R9" s="24" t="n">
        <f aca="false">M9</f>
        <v>10</v>
      </c>
      <c r="S9" s="25"/>
      <c r="T9" s="26"/>
      <c r="W9" s="27"/>
    </row>
    <row r="10" customFormat="false" ht="15" hidden="false" customHeight="true" outlineLevel="0" collapsed="false">
      <c r="A10" s="28" t="n">
        <v>1.3</v>
      </c>
      <c r="B10" s="36"/>
      <c r="C10" s="37"/>
      <c r="D10" s="37"/>
      <c r="E10" s="30" t="s">
        <v>53</v>
      </c>
      <c r="F10" s="31" t="s">
        <v>54</v>
      </c>
      <c r="G10" s="30" t="s">
        <v>55</v>
      </c>
      <c r="H10" s="30" t="n">
        <v>38</v>
      </c>
      <c r="I10" s="30" t="s">
        <v>56</v>
      </c>
      <c r="J10" s="30" t="s">
        <v>57</v>
      </c>
      <c r="K10" s="32" t="n">
        <v>537</v>
      </c>
      <c r="L10" s="33" t="n">
        <f aca="false">K10*M10</f>
        <v>5370</v>
      </c>
      <c r="M10" s="30" t="n">
        <v>10</v>
      </c>
      <c r="N10" s="38" t="s">
        <v>32</v>
      </c>
      <c r="O10" s="35" t="s">
        <v>33</v>
      </c>
      <c r="Q10" s="24" t="n">
        <f aca="false">(H10*L10)/1000</f>
        <v>204.06</v>
      </c>
      <c r="R10" s="24" t="n">
        <f aca="false">M10</f>
        <v>10</v>
      </c>
      <c r="S10" s="25"/>
      <c r="T10" s="26"/>
      <c r="W10" s="27"/>
    </row>
    <row r="11" customFormat="false" ht="15" hidden="false" customHeight="true" outlineLevel="0" collapsed="false">
      <c r="A11" s="28" t="n">
        <v>1.3</v>
      </c>
      <c r="B11" s="36"/>
      <c r="C11" s="37"/>
      <c r="D11" s="37"/>
      <c r="E11" s="37" t="s">
        <v>58</v>
      </c>
      <c r="F11" s="39" t="s">
        <v>49</v>
      </c>
      <c r="G11" s="37" t="s">
        <v>50</v>
      </c>
      <c r="H11" s="37" t="n">
        <v>38</v>
      </c>
      <c r="I11" s="37" t="s">
        <v>59</v>
      </c>
      <c r="J11" s="37" t="s">
        <v>60</v>
      </c>
      <c r="K11" s="40" t="n">
        <v>588</v>
      </c>
      <c r="L11" s="41" t="n">
        <f aca="false">K11*M11</f>
        <v>17640</v>
      </c>
      <c r="M11" s="37" t="n">
        <v>30</v>
      </c>
      <c r="N11" s="42" t="s">
        <v>32</v>
      </c>
      <c r="O11" s="43" t="s">
        <v>33</v>
      </c>
      <c r="Q11" s="24" t="n">
        <f aca="false">(H11*L11)/1000</f>
        <v>670.32</v>
      </c>
      <c r="R11" s="24" t="n">
        <f aca="false">M11</f>
        <v>30</v>
      </c>
      <c r="S11" s="25"/>
      <c r="T11" s="26"/>
      <c r="W11" s="27"/>
    </row>
    <row r="12" customFormat="false" ht="15" hidden="false" customHeight="true" outlineLevel="0" collapsed="false">
      <c r="A12" s="44" t="n">
        <v>1</v>
      </c>
      <c r="B12" s="45"/>
      <c r="C12" s="46"/>
      <c r="D12" s="47"/>
      <c r="E12" s="47"/>
      <c r="F12" s="48"/>
      <c r="G12" s="47"/>
      <c r="H12" s="47"/>
      <c r="I12" s="47"/>
      <c r="J12" s="47"/>
      <c r="K12" s="49"/>
      <c r="L12" s="49"/>
      <c r="M12" s="47" t="n">
        <f aca="false">SUM(M5:M11)</f>
        <v>90</v>
      </c>
      <c r="N12" s="48"/>
      <c r="O12" s="50"/>
      <c r="P12" s="51" t="str">
        <f aca="false">IFERROR(VLOOKUP(A12,[1]WHouse!$B$4:$G$18,6,0),"")</f>
        <v>Finish</v>
      </c>
      <c r="Q12" s="52" t="n">
        <f aca="false">SUM(Q5:Q11)</f>
        <v>2551.5</v>
      </c>
      <c r="R12" s="52" t="n">
        <f aca="false">SUM(R5:R11)</f>
        <v>90</v>
      </c>
      <c r="S12" s="53" t="n">
        <f aca="false">SUM(Q12:R12)</f>
        <v>2641.5</v>
      </c>
      <c r="T12" s="54" t="n">
        <f aca="false">S12-(S12*0.04)</f>
        <v>2535.84</v>
      </c>
      <c r="U12" s="54" t="n">
        <f aca="false">S12+(S12*0.04)</f>
        <v>2747.16</v>
      </c>
      <c r="V12" s="54" t="n">
        <f aca="false">U12+(0.06*U12)</f>
        <v>2911.9896</v>
      </c>
      <c r="W12" s="55" t="n">
        <f aca="false">U12+(0.1*U12)</f>
        <v>3021.876</v>
      </c>
    </row>
    <row r="13" customFormat="false" ht="15" hidden="false" customHeight="true" outlineLevel="0" collapsed="false">
      <c r="A13" s="17" t="n">
        <v>2.1</v>
      </c>
      <c r="B13" s="18" t="s">
        <v>61</v>
      </c>
      <c r="C13" s="19" t="s">
        <v>62</v>
      </c>
      <c r="D13" s="19" t="n">
        <v>1</v>
      </c>
      <c r="E13" s="19" t="s">
        <v>63</v>
      </c>
      <c r="F13" s="20" t="s">
        <v>64</v>
      </c>
      <c r="G13" s="19" t="s">
        <v>65</v>
      </c>
      <c r="H13" s="19" t="n">
        <v>13</v>
      </c>
      <c r="I13" s="19" t="s">
        <v>66</v>
      </c>
      <c r="J13" s="19" t="s">
        <v>67</v>
      </c>
      <c r="K13" s="21" t="n">
        <v>3024</v>
      </c>
      <c r="L13" s="21" t="n">
        <f aca="false">K13*M13</f>
        <v>12096</v>
      </c>
      <c r="M13" s="19" t="n">
        <v>4</v>
      </c>
      <c r="N13" s="56" t="s">
        <v>68</v>
      </c>
      <c r="O13" s="23" t="s">
        <v>69</v>
      </c>
      <c r="Q13" s="57" t="n">
        <f aca="false">(H13*L13)/1000</f>
        <v>157.248</v>
      </c>
      <c r="R13" s="57" t="n">
        <f aca="false">M13</f>
        <v>4</v>
      </c>
      <c r="S13" s="58" t="n">
        <f aca="false">SUM(Q13:R18)</f>
        <v>1987.784</v>
      </c>
      <c r="T13" s="26"/>
      <c r="W13" s="27"/>
    </row>
    <row r="14" customFormat="false" ht="15" hidden="false" customHeight="true" outlineLevel="0" collapsed="false">
      <c r="A14" s="28" t="n">
        <v>2.1</v>
      </c>
      <c r="B14" s="18"/>
      <c r="C14" s="19"/>
      <c r="D14" s="19"/>
      <c r="E14" s="30" t="s">
        <v>70</v>
      </c>
      <c r="F14" s="31" t="s">
        <v>64</v>
      </c>
      <c r="G14" s="30" t="s">
        <v>44</v>
      </c>
      <c r="H14" s="30" t="n">
        <v>13</v>
      </c>
      <c r="I14" s="30" t="s">
        <v>66</v>
      </c>
      <c r="J14" s="30" t="s">
        <v>67</v>
      </c>
      <c r="K14" s="32" t="n">
        <v>3024</v>
      </c>
      <c r="L14" s="33" t="n">
        <f aca="false">K14*M14</f>
        <v>9072</v>
      </c>
      <c r="M14" s="30" t="n">
        <v>3</v>
      </c>
      <c r="N14" s="59" t="s">
        <v>68</v>
      </c>
      <c r="O14" s="60" t="s">
        <v>69</v>
      </c>
      <c r="Q14" s="57" t="n">
        <f aca="false">(H14*L14)/1000</f>
        <v>117.936</v>
      </c>
      <c r="R14" s="57" t="n">
        <f aca="false">M14</f>
        <v>3</v>
      </c>
      <c r="S14" s="58"/>
      <c r="T14" s="26"/>
      <c r="W14" s="27"/>
    </row>
    <row r="15" customFormat="false" ht="15" hidden="false" customHeight="true" outlineLevel="0" collapsed="false">
      <c r="A15" s="28" t="n">
        <v>2.2</v>
      </c>
      <c r="B15" s="36" t="s">
        <v>71</v>
      </c>
      <c r="C15" s="37" t="s">
        <v>72</v>
      </c>
      <c r="D15" s="37" t="n">
        <v>2</v>
      </c>
      <c r="E15" s="30" t="s">
        <v>73</v>
      </c>
      <c r="F15" s="31" t="s">
        <v>74</v>
      </c>
      <c r="G15" s="30" t="s">
        <v>38</v>
      </c>
      <c r="H15" s="30" t="n">
        <v>40</v>
      </c>
      <c r="I15" s="30" t="s">
        <v>59</v>
      </c>
      <c r="J15" s="30" t="s">
        <v>75</v>
      </c>
      <c r="K15" s="32" t="n">
        <v>1014</v>
      </c>
      <c r="L15" s="33" t="n">
        <f aca="false">K15*M15</f>
        <v>10140</v>
      </c>
      <c r="M15" s="30" t="n">
        <v>10</v>
      </c>
      <c r="N15" s="59" t="s">
        <v>68</v>
      </c>
      <c r="O15" s="60" t="s">
        <v>69</v>
      </c>
      <c r="Q15" s="57" t="n">
        <f aca="false">(H15*L15)/1000</f>
        <v>405.6</v>
      </c>
      <c r="R15" s="57" t="n">
        <f aca="false">M15</f>
        <v>10</v>
      </c>
      <c r="S15" s="58"/>
      <c r="T15" s="26"/>
      <c r="W15" s="27"/>
    </row>
    <row r="16" customFormat="false" ht="15" hidden="false" customHeight="true" outlineLevel="0" collapsed="false">
      <c r="A16" s="28" t="n">
        <v>2.2</v>
      </c>
      <c r="B16" s="36"/>
      <c r="C16" s="37"/>
      <c r="D16" s="37"/>
      <c r="E16" s="30" t="s">
        <v>76</v>
      </c>
      <c r="F16" s="31" t="s">
        <v>77</v>
      </c>
      <c r="G16" s="30" t="s">
        <v>78</v>
      </c>
      <c r="H16" s="30" t="n">
        <v>50</v>
      </c>
      <c r="I16" s="30" t="s">
        <v>66</v>
      </c>
      <c r="J16" s="30" t="s">
        <v>79</v>
      </c>
      <c r="K16" s="32" t="n">
        <v>410</v>
      </c>
      <c r="L16" s="33" t="n">
        <f aca="false">K16*M16</f>
        <v>1640</v>
      </c>
      <c r="M16" s="30" t="n">
        <v>4</v>
      </c>
      <c r="N16" s="59" t="s">
        <v>68</v>
      </c>
      <c r="O16" s="60" t="s">
        <v>69</v>
      </c>
      <c r="Q16" s="57" t="n">
        <f aca="false">(H16*L16)/1000</f>
        <v>82</v>
      </c>
      <c r="R16" s="57" t="n">
        <f aca="false">M16</f>
        <v>4</v>
      </c>
      <c r="S16" s="58"/>
      <c r="T16" s="26"/>
      <c r="W16" s="27"/>
    </row>
    <row r="17" customFormat="false" ht="15" hidden="false" customHeight="true" outlineLevel="0" collapsed="false">
      <c r="A17" s="28" t="n">
        <v>2.2</v>
      </c>
      <c r="B17" s="36"/>
      <c r="C17" s="37"/>
      <c r="D17" s="37"/>
      <c r="E17" s="30" t="s">
        <v>80</v>
      </c>
      <c r="F17" s="31" t="s">
        <v>81</v>
      </c>
      <c r="G17" s="30" t="s">
        <v>78</v>
      </c>
      <c r="H17" s="30" t="n">
        <v>50</v>
      </c>
      <c r="I17" s="30" t="s">
        <v>30</v>
      </c>
      <c r="J17" s="30" t="s">
        <v>31</v>
      </c>
      <c r="K17" s="32" t="n">
        <v>410</v>
      </c>
      <c r="L17" s="33" t="n">
        <f aca="false">K17*M17</f>
        <v>8200</v>
      </c>
      <c r="M17" s="30" t="n">
        <v>20</v>
      </c>
      <c r="N17" s="59" t="s">
        <v>68</v>
      </c>
      <c r="O17" s="60" t="s">
        <v>69</v>
      </c>
      <c r="Q17" s="57" t="n">
        <f aca="false">(H17*L17)/1000</f>
        <v>410</v>
      </c>
      <c r="R17" s="57" t="n">
        <f aca="false">M17</f>
        <v>20</v>
      </c>
      <c r="S17" s="58"/>
      <c r="T17" s="26"/>
      <c r="W17" s="27"/>
    </row>
    <row r="18" customFormat="false" ht="15" hidden="false" customHeight="true" outlineLevel="0" collapsed="false">
      <c r="A18" s="61" t="n">
        <v>2.2</v>
      </c>
      <c r="B18" s="36"/>
      <c r="C18" s="37"/>
      <c r="D18" s="37"/>
      <c r="E18" s="37" t="s">
        <v>82</v>
      </c>
      <c r="F18" s="39" t="s">
        <v>77</v>
      </c>
      <c r="G18" s="37" t="s">
        <v>78</v>
      </c>
      <c r="H18" s="37" t="n">
        <v>50</v>
      </c>
      <c r="I18" s="37" t="s">
        <v>66</v>
      </c>
      <c r="J18" s="37" t="s">
        <v>79</v>
      </c>
      <c r="K18" s="40" t="n">
        <v>410</v>
      </c>
      <c r="L18" s="41" t="n">
        <f aca="false">K18*M18</f>
        <v>14760</v>
      </c>
      <c r="M18" s="37" t="n">
        <v>36</v>
      </c>
      <c r="N18" s="62" t="s">
        <v>68</v>
      </c>
      <c r="O18" s="63" t="s">
        <v>69</v>
      </c>
      <c r="Q18" s="57" t="n">
        <f aca="false">(H18*L18)/1000</f>
        <v>738</v>
      </c>
      <c r="R18" s="57" t="n">
        <f aca="false">M18</f>
        <v>36</v>
      </c>
      <c r="S18" s="58"/>
      <c r="T18" s="26"/>
      <c r="W18" s="27"/>
    </row>
    <row r="19" customFormat="false" ht="15" hidden="false" customHeight="true" outlineLevel="0" collapsed="false">
      <c r="A19" s="64" t="n">
        <v>2</v>
      </c>
      <c r="B19" s="65"/>
      <c r="C19" s="66"/>
      <c r="D19" s="66"/>
      <c r="E19" s="66"/>
      <c r="F19" s="67"/>
      <c r="G19" s="66"/>
      <c r="H19" s="66"/>
      <c r="I19" s="66"/>
      <c r="J19" s="66"/>
      <c r="K19" s="68"/>
      <c r="L19" s="68"/>
      <c r="M19" s="66" t="n">
        <f aca="false">SUM(M13:M18)</f>
        <v>77</v>
      </c>
      <c r="N19" s="67"/>
      <c r="O19" s="69"/>
      <c r="P19" s="70" t="str">
        <f aca="false">IFERROR(VLOOKUP(A19,[1]WHouse!$B$4:$G$18,6,0),"")</f>
        <v>Finish</v>
      </c>
      <c r="Q19" s="71" t="n">
        <f aca="false">SUM(Q13:Q18)</f>
        <v>1910.784</v>
      </c>
      <c r="R19" s="71" t="n">
        <f aca="false">SUM(R13:R18)</f>
        <v>77</v>
      </c>
      <c r="S19" s="72" t="n">
        <f aca="false">SUM(Q19:R19)</f>
        <v>1987.784</v>
      </c>
      <c r="T19" s="73" t="n">
        <f aca="false">S19-(S19*0.04)</f>
        <v>1908.27264</v>
      </c>
      <c r="U19" s="73" t="n">
        <f aca="false">S19+(S19*0.04)</f>
        <v>2067.29536</v>
      </c>
      <c r="V19" s="73" t="n">
        <f aca="false">U19+(0.06*U19)</f>
        <v>2191.3330816</v>
      </c>
      <c r="W19" s="74" t="n">
        <f aca="false">U19+(0.1*U19)</f>
        <v>2274.024896</v>
      </c>
    </row>
    <row r="20" customFormat="false" ht="15" hidden="false" customHeight="false" outlineLevel="0" collapsed="false">
      <c r="A20" s="17" t="n">
        <v>3.2</v>
      </c>
      <c r="B20" s="18" t="s">
        <v>83</v>
      </c>
      <c r="C20" s="19" t="s">
        <v>62</v>
      </c>
      <c r="D20" s="19" t="n">
        <v>2</v>
      </c>
      <c r="E20" s="19" t="s">
        <v>84</v>
      </c>
      <c r="F20" s="20" t="s">
        <v>85</v>
      </c>
      <c r="G20" s="19" t="s">
        <v>44</v>
      </c>
      <c r="H20" s="19" t="n">
        <v>30</v>
      </c>
      <c r="I20" s="19" t="s">
        <v>30</v>
      </c>
      <c r="J20" s="19" t="s">
        <v>31</v>
      </c>
      <c r="K20" s="21" t="n">
        <v>500</v>
      </c>
      <c r="L20" s="21" t="n">
        <f aca="false">K20*M20</f>
        <v>10000</v>
      </c>
      <c r="M20" s="19" t="n">
        <v>20</v>
      </c>
      <c r="N20" s="56" t="s">
        <v>68</v>
      </c>
      <c r="O20" s="23" t="s">
        <v>69</v>
      </c>
      <c r="Q20" s="57" t="n">
        <f aca="false">(H20*L20)/1000</f>
        <v>300</v>
      </c>
      <c r="R20" s="57" t="n">
        <f aca="false">M20</f>
        <v>20</v>
      </c>
      <c r="S20" s="58" t="n">
        <f aca="false">SUM(Q20:R25)</f>
        <v>2767.272</v>
      </c>
      <c r="T20" s="26"/>
      <c r="W20" s="27"/>
    </row>
    <row r="21" customFormat="false" ht="15" hidden="false" customHeight="false" outlineLevel="0" collapsed="false">
      <c r="A21" s="28" t="n">
        <v>3.1</v>
      </c>
      <c r="B21" s="36" t="s">
        <v>86</v>
      </c>
      <c r="C21" s="37" t="s">
        <v>87</v>
      </c>
      <c r="D21" s="37" t="n">
        <v>1</v>
      </c>
      <c r="E21" s="30" t="s">
        <v>88</v>
      </c>
      <c r="F21" s="31" t="s">
        <v>89</v>
      </c>
      <c r="G21" s="30" t="s">
        <v>44</v>
      </c>
      <c r="H21" s="30" t="n">
        <v>28</v>
      </c>
      <c r="I21" s="30" t="s">
        <v>90</v>
      </c>
      <c r="J21" s="30" t="s">
        <v>40</v>
      </c>
      <c r="K21" s="32" t="n">
        <v>1224</v>
      </c>
      <c r="L21" s="33" t="n">
        <f aca="false">K21*M21</f>
        <v>1224</v>
      </c>
      <c r="M21" s="30" t="n">
        <v>1</v>
      </c>
      <c r="N21" s="38" t="s">
        <v>91</v>
      </c>
      <c r="O21" s="60" t="s">
        <v>69</v>
      </c>
      <c r="Q21" s="57" t="n">
        <f aca="false">(H21*L21)/1000</f>
        <v>34.272</v>
      </c>
      <c r="R21" s="57" t="n">
        <f aca="false">M21</f>
        <v>1</v>
      </c>
      <c r="S21" s="58"/>
      <c r="T21" s="26"/>
      <c r="W21" s="27"/>
    </row>
    <row r="22" customFormat="false" ht="15" hidden="false" customHeight="false" outlineLevel="0" collapsed="false">
      <c r="A22" s="28" t="n">
        <v>3.1</v>
      </c>
      <c r="B22" s="36"/>
      <c r="C22" s="37"/>
      <c r="D22" s="37"/>
      <c r="E22" s="75" t="s">
        <v>92</v>
      </c>
      <c r="F22" s="76" t="s">
        <v>93</v>
      </c>
      <c r="G22" s="30" t="s">
        <v>55</v>
      </c>
      <c r="H22" s="30" t="n">
        <v>40</v>
      </c>
      <c r="I22" s="30" t="s">
        <v>94</v>
      </c>
      <c r="J22" s="30" t="s">
        <v>40</v>
      </c>
      <c r="K22" s="32" t="n">
        <v>980</v>
      </c>
      <c r="L22" s="33" t="n">
        <f aca="false">K22*M22</f>
        <v>31360</v>
      </c>
      <c r="M22" s="30" t="n">
        <v>32</v>
      </c>
      <c r="N22" s="59" t="s">
        <v>68</v>
      </c>
      <c r="O22" s="60" t="s">
        <v>69</v>
      </c>
      <c r="Q22" s="57" t="n">
        <f aca="false">(H22*L22)/1000</f>
        <v>1254.4</v>
      </c>
      <c r="R22" s="57" t="n">
        <f aca="false">M22</f>
        <v>32</v>
      </c>
      <c r="S22" s="58"/>
      <c r="T22" s="26"/>
      <c r="W22" s="27"/>
    </row>
    <row r="23" customFormat="false" ht="15" hidden="false" customHeight="false" outlineLevel="0" collapsed="false">
      <c r="A23" s="28" t="n">
        <v>3.1</v>
      </c>
      <c r="B23" s="36"/>
      <c r="C23" s="37"/>
      <c r="D23" s="37"/>
      <c r="E23" s="30" t="s">
        <v>95</v>
      </c>
      <c r="F23" s="31" t="s">
        <v>96</v>
      </c>
      <c r="G23" s="30" t="s">
        <v>50</v>
      </c>
      <c r="H23" s="30" t="n">
        <v>40</v>
      </c>
      <c r="I23" s="30" t="s">
        <v>51</v>
      </c>
      <c r="J23" s="30" t="s">
        <v>97</v>
      </c>
      <c r="K23" s="32" t="n">
        <v>980</v>
      </c>
      <c r="L23" s="33" t="n">
        <f aca="false">K23*M23</f>
        <v>5880</v>
      </c>
      <c r="M23" s="30" t="n">
        <v>6</v>
      </c>
      <c r="N23" s="59" t="s">
        <v>68</v>
      </c>
      <c r="O23" s="60" t="s">
        <v>69</v>
      </c>
      <c r="Q23" s="57" t="n">
        <f aca="false">(H23*L23)/1000</f>
        <v>235.2</v>
      </c>
      <c r="R23" s="57" t="n">
        <f aca="false">M23</f>
        <v>6</v>
      </c>
      <c r="S23" s="58"/>
      <c r="T23" s="26"/>
      <c r="W23" s="27"/>
    </row>
    <row r="24" customFormat="false" ht="15" hidden="false" customHeight="false" outlineLevel="0" collapsed="false">
      <c r="A24" s="28" t="n">
        <v>3.1</v>
      </c>
      <c r="B24" s="36"/>
      <c r="C24" s="37"/>
      <c r="D24" s="37"/>
      <c r="E24" s="30" t="s">
        <v>95</v>
      </c>
      <c r="F24" s="31" t="s">
        <v>96</v>
      </c>
      <c r="G24" s="30" t="s">
        <v>50</v>
      </c>
      <c r="H24" s="30" t="n">
        <v>40</v>
      </c>
      <c r="I24" s="30" t="s">
        <v>98</v>
      </c>
      <c r="J24" s="30" t="s">
        <v>40</v>
      </c>
      <c r="K24" s="32" t="n">
        <v>980</v>
      </c>
      <c r="L24" s="33" t="n">
        <f aca="false">K24*M24</f>
        <v>11760</v>
      </c>
      <c r="M24" s="30" t="n">
        <v>12</v>
      </c>
      <c r="N24" s="59" t="s">
        <v>68</v>
      </c>
      <c r="O24" s="60" t="s">
        <v>69</v>
      </c>
      <c r="Q24" s="57" t="n">
        <f aca="false">(H24*L24)/1000</f>
        <v>470.4</v>
      </c>
      <c r="R24" s="57" t="n">
        <f aca="false">M24</f>
        <v>12</v>
      </c>
      <c r="S24" s="58"/>
      <c r="T24" s="26"/>
      <c r="W24" s="27"/>
    </row>
    <row r="25" customFormat="false" ht="15" hidden="false" customHeight="false" outlineLevel="0" collapsed="false">
      <c r="A25" s="61" t="n">
        <v>3.1</v>
      </c>
      <c r="B25" s="36"/>
      <c r="C25" s="37"/>
      <c r="D25" s="37"/>
      <c r="E25" s="37" t="s">
        <v>95</v>
      </c>
      <c r="F25" s="39" t="s">
        <v>96</v>
      </c>
      <c r="G25" s="37" t="s">
        <v>55</v>
      </c>
      <c r="H25" s="37" t="n">
        <v>40</v>
      </c>
      <c r="I25" s="37" t="s">
        <v>99</v>
      </c>
      <c r="J25" s="37" t="s">
        <v>97</v>
      </c>
      <c r="K25" s="40" t="n">
        <v>980</v>
      </c>
      <c r="L25" s="41" t="n">
        <f aca="false">K25*M25</f>
        <v>9800</v>
      </c>
      <c r="M25" s="37" t="n">
        <v>10</v>
      </c>
      <c r="N25" s="62" t="s">
        <v>68</v>
      </c>
      <c r="O25" s="63" t="s">
        <v>69</v>
      </c>
      <c r="Q25" s="57" t="n">
        <f aca="false">(H25*L25)/1000</f>
        <v>392</v>
      </c>
      <c r="R25" s="57" t="n">
        <f aca="false">M25</f>
        <v>10</v>
      </c>
      <c r="S25" s="58"/>
      <c r="T25" s="26"/>
      <c r="W25" s="27"/>
    </row>
    <row r="26" customFormat="false" ht="15" hidden="false" customHeight="true" outlineLevel="0" collapsed="false">
      <c r="A26" s="64" t="n">
        <v>3</v>
      </c>
      <c r="B26" s="65"/>
      <c r="C26" s="66"/>
      <c r="D26" s="66"/>
      <c r="E26" s="66"/>
      <c r="F26" s="67"/>
      <c r="G26" s="66"/>
      <c r="H26" s="66"/>
      <c r="I26" s="66"/>
      <c r="J26" s="66"/>
      <c r="K26" s="68"/>
      <c r="L26" s="68"/>
      <c r="M26" s="66" t="n">
        <f aca="false">SUM(M20:M25)</f>
        <v>81</v>
      </c>
      <c r="N26" s="67"/>
      <c r="O26" s="69"/>
      <c r="P26" s="70" t="str">
        <f aca="false">IFERROR(VLOOKUP(A26,[1]WHouse!$B$4:$G$18,6,0),"")</f>
        <v>Finish</v>
      </c>
      <c r="Q26" s="71" t="n">
        <f aca="false">SUM(Q20:Q25)</f>
        <v>2686.272</v>
      </c>
      <c r="R26" s="71" t="n">
        <f aca="false">SUM(R20:R25)</f>
        <v>81</v>
      </c>
      <c r="S26" s="72" t="n">
        <f aca="false">SUM(Q26:R26)</f>
        <v>2767.272</v>
      </c>
      <c r="T26" s="73" t="n">
        <f aca="false">S26-(S26*0.04)</f>
        <v>2656.58112</v>
      </c>
      <c r="U26" s="73" t="n">
        <f aca="false">S26+(S26*0.04)</f>
        <v>2877.96288</v>
      </c>
      <c r="V26" s="73" t="n">
        <f aca="false">U26+(0.06*U26)</f>
        <v>3050.6406528</v>
      </c>
      <c r="W26" s="74" t="n">
        <f aca="false">U26+(0.1*U26)</f>
        <v>3165.759168</v>
      </c>
    </row>
    <row r="27" customFormat="false" ht="15" hidden="false" customHeight="true" outlineLevel="0" collapsed="false">
      <c r="A27" s="17" t="s">
        <v>100</v>
      </c>
      <c r="B27" s="18" t="s">
        <v>101</v>
      </c>
      <c r="C27" s="19" t="s">
        <v>102</v>
      </c>
      <c r="D27" s="19" t="n">
        <v>1</v>
      </c>
      <c r="E27" s="19" t="s">
        <v>103</v>
      </c>
      <c r="F27" s="20" t="s">
        <v>104</v>
      </c>
      <c r="G27" s="19" t="s">
        <v>50</v>
      </c>
      <c r="H27" s="19" t="n">
        <v>42</v>
      </c>
      <c r="I27" s="19" t="s">
        <v>90</v>
      </c>
      <c r="J27" s="19" t="s">
        <v>40</v>
      </c>
      <c r="K27" s="21" t="n">
        <v>931</v>
      </c>
      <c r="L27" s="21" t="n">
        <f aca="false">K27*M27</f>
        <v>3724</v>
      </c>
      <c r="M27" s="19" t="n">
        <v>4</v>
      </c>
      <c r="N27" s="56" t="s">
        <v>68</v>
      </c>
      <c r="O27" s="23" t="s">
        <v>69</v>
      </c>
      <c r="Q27" s="57" t="n">
        <f aca="false">(H27*L27)/1000</f>
        <v>156.408</v>
      </c>
      <c r="R27" s="57" t="n">
        <f aca="false">M27</f>
        <v>4</v>
      </c>
      <c r="S27" s="58" t="n">
        <f aca="false">SUM(Q27:R37)</f>
        <v>3815.276</v>
      </c>
      <c r="T27" s="26"/>
      <c r="W27" s="27"/>
    </row>
    <row r="28" customFormat="false" ht="15" hidden="false" customHeight="true" outlineLevel="0" collapsed="false">
      <c r="A28" s="28" t="n">
        <v>4.1</v>
      </c>
      <c r="B28" s="18"/>
      <c r="C28" s="19"/>
      <c r="D28" s="19"/>
      <c r="E28" s="30" t="s">
        <v>105</v>
      </c>
      <c r="F28" s="31" t="s">
        <v>104</v>
      </c>
      <c r="G28" s="30" t="s">
        <v>50</v>
      </c>
      <c r="H28" s="30" t="n">
        <v>42</v>
      </c>
      <c r="I28" s="30" t="s">
        <v>59</v>
      </c>
      <c r="J28" s="30" t="s">
        <v>106</v>
      </c>
      <c r="K28" s="32" t="n">
        <v>931</v>
      </c>
      <c r="L28" s="33" t="n">
        <f aca="false">K28*M28</f>
        <v>931</v>
      </c>
      <c r="M28" s="30" t="n">
        <v>1</v>
      </c>
      <c r="N28" s="59" t="s">
        <v>68</v>
      </c>
      <c r="O28" s="60" t="s">
        <v>69</v>
      </c>
      <c r="Q28" s="57" t="n">
        <f aca="false">(H28*L28)/1000</f>
        <v>39.102</v>
      </c>
      <c r="R28" s="57" t="n">
        <f aca="false">M28</f>
        <v>1</v>
      </c>
      <c r="S28" s="58"/>
      <c r="T28" s="26"/>
      <c r="W28" s="27"/>
    </row>
    <row r="29" customFormat="false" ht="15" hidden="false" customHeight="true" outlineLevel="0" collapsed="false">
      <c r="A29" s="28" t="n">
        <v>4.1</v>
      </c>
      <c r="B29" s="18"/>
      <c r="C29" s="19"/>
      <c r="D29" s="19"/>
      <c r="E29" s="30" t="s">
        <v>105</v>
      </c>
      <c r="F29" s="31" t="s">
        <v>104</v>
      </c>
      <c r="G29" s="30" t="s">
        <v>50</v>
      </c>
      <c r="H29" s="30" t="n">
        <v>42</v>
      </c>
      <c r="I29" s="30" t="s">
        <v>59</v>
      </c>
      <c r="J29" s="30" t="s">
        <v>40</v>
      </c>
      <c r="K29" s="32" t="n">
        <v>931</v>
      </c>
      <c r="L29" s="33" t="n">
        <f aca="false">K29*M29</f>
        <v>1862</v>
      </c>
      <c r="M29" s="30" t="n">
        <v>2</v>
      </c>
      <c r="N29" s="59" t="s">
        <v>68</v>
      </c>
      <c r="O29" s="60" t="s">
        <v>69</v>
      </c>
      <c r="Q29" s="57" t="n">
        <f aca="false">(H29*L29)/1000</f>
        <v>78.204</v>
      </c>
      <c r="R29" s="57" t="n">
        <f aca="false">M29</f>
        <v>2</v>
      </c>
      <c r="S29" s="58"/>
      <c r="T29" s="26"/>
      <c r="W29" s="27"/>
    </row>
    <row r="30" customFormat="false" ht="15" hidden="false" customHeight="true" outlineLevel="0" collapsed="false">
      <c r="A30" s="28" t="n">
        <v>4.1</v>
      </c>
      <c r="B30" s="18"/>
      <c r="C30" s="19"/>
      <c r="D30" s="19"/>
      <c r="E30" s="30" t="s">
        <v>105</v>
      </c>
      <c r="F30" s="31" t="s">
        <v>104</v>
      </c>
      <c r="G30" s="30" t="s">
        <v>50</v>
      </c>
      <c r="H30" s="30" t="n">
        <v>42</v>
      </c>
      <c r="I30" s="30" t="s">
        <v>98</v>
      </c>
      <c r="J30" s="30" t="s">
        <v>57</v>
      </c>
      <c r="K30" s="32" t="n">
        <v>931</v>
      </c>
      <c r="L30" s="33" t="n">
        <f aca="false">K30*M30</f>
        <v>931</v>
      </c>
      <c r="M30" s="30" t="n">
        <v>1</v>
      </c>
      <c r="N30" s="59" t="s">
        <v>68</v>
      </c>
      <c r="O30" s="60" t="s">
        <v>69</v>
      </c>
      <c r="Q30" s="57" t="n">
        <f aca="false">(H30*L30)/1000</f>
        <v>39.102</v>
      </c>
      <c r="R30" s="57" t="n">
        <f aca="false">M30</f>
        <v>1</v>
      </c>
      <c r="S30" s="58"/>
      <c r="T30" s="26"/>
      <c r="W30" s="27"/>
    </row>
    <row r="31" customFormat="false" ht="15" hidden="false" customHeight="true" outlineLevel="0" collapsed="false">
      <c r="A31" s="28" t="n">
        <v>4.1</v>
      </c>
      <c r="B31" s="18"/>
      <c r="C31" s="19"/>
      <c r="D31" s="19"/>
      <c r="E31" s="30" t="s">
        <v>107</v>
      </c>
      <c r="F31" s="31" t="s">
        <v>104</v>
      </c>
      <c r="G31" s="30" t="s">
        <v>50</v>
      </c>
      <c r="H31" s="30" t="n">
        <v>42</v>
      </c>
      <c r="I31" s="30" t="s">
        <v>108</v>
      </c>
      <c r="J31" s="30" t="s">
        <v>97</v>
      </c>
      <c r="K31" s="32" t="n">
        <v>931</v>
      </c>
      <c r="L31" s="33" t="n">
        <f aca="false">K31*M31</f>
        <v>1862</v>
      </c>
      <c r="M31" s="30" t="n">
        <v>2</v>
      </c>
      <c r="N31" s="59" t="s">
        <v>68</v>
      </c>
      <c r="O31" s="60" t="s">
        <v>69</v>
      </c>
      <c r="Q31" s="57" t="n">
        <f aca="false">(H31*L31)/1000</f>
        <v>78.204</v>
      </c>
      <c r="R31" s="57" t="n">
        <f aca="false">M31</f>
        <v>2</v>
      </c>
      <c r="S31" s="58"/>
      <c r="T31" s="26"/>
      <c r="W31" s="27"/>
    </row>
    <row r="32" customFormat="false" ht="15" hidden="false" customHeight="true" outlineLevel="0" collapsed="false">
      <c r="A32" s="28" t="n">
        <v>4.1</v>
      </c>
      <c r="B32" s="18"/>
      <c r="C32" s="19"/>
      <c r="D32" s="19"/>
      <c r="E32" s="30" t="s">
        <v>109</v>
      </c>
      <c r="F32" s="77" t="s">
        <v>104</v>
      </c>
      <c r="G32" s="30" t="s">
        <v>50</v>
      </c>
      <c r="H32" s="30" t="n">
        <v>42</v>
      </c>
      <c r="I32" s="30" t="s">
        <v>39</v>
      </c>
      <c r="J32" s="30" t="s">
        <v>110</v>
      </c>
      <c r="K32" s="32" t="n">
        <v>931</v>
      </c>
      <c r="L32" s="33" t="n">
        <f aca="false">K32*M32</f>
        <v>1862</v>
      </c>
      <c r="M32" s="30" t="n">
        <v>2</v>
      </c>
      <c r="N32" s="78" t="s">
        <v>68</v>
      </c>
      <c r="O32" s="79" t="s">
        <v>69</v>
      </c>
      <c r="Q32" s="57" t="n">
        <f aca="false">(H32*L32)/1000</f>
        <v>78.204</v>
      </c>
      <c r="R32" s="57" t="n">
        <f aca="false">M32</f>
        <v>2</v>
      </c>
      <c r="S32" s="58"/>
      <c r="T32" s="26"/>
      <c r="W32" s="27"/>
    </row>
    <row r="33" customFormat="false" ht="15" hidden="false" customHeight="true" outlineLevel="0" collapsed="false">
      <c r="A33" s="28" t="n">
        <v>4.1</v>
      </c>
      <c r="B33" s="18"/>
      <c r="C33" s="19"/>
      <c r="D33" s="19"/>
      <c r="E33" s="30" t="s">
        <v>111</v>
      </c>
      <c r="F33" s="77" t="s">
        <v>104</v>
      </c>
      <c r="G33" s="30" t="s">
        <v>50</v>
      </c>
      <c r="H33" s="30" t="n">
        <v>42</v>
      </c>
      <c r="I33" s="30" t="s">
        <v>112</v>
      </c>
      <c r="J33" s="30" t="s">
        <v>40</v>
      </c>
      <c r="K33" s="32" t="n">
        <v>931</v>
      </c>
      <c r="L33" s="33" t="n">
        <f aca="false">K33*M33</f>
        <v>9310</v>
      </c>
      <c r="M33" s="30" t="n">
        <v>10</v>
      </c>
      <c r="N33" s="78" t="s">
        <v>68</v>
      </c>
      <c r="O33" s="79" t="s">
        <v>69</v>
      </c>
      <c r="Q33" s="57" t="n">
        <f aca="false">(H33*L33)/1000</f>
        <v>391.02</v>
      </c>
      <c r="R33" s="57" t="n">
        <f aca="false">M33</f>
        <v>10</v>
      </c>
      <c r="S33" s="58"/>
      <c r="T33" s="26"/>
      <c r="W33" s="27"/>
    </row>
    <row r="34" customFormat="false" ht="15" hidden="false" customHeight="true" outlineLevel="0" collapsed="false">
      <c r="A34" s="28" t="n">
        <v>4.1</v>
      </c>
      <c r="B34" s="18"/>
      <c r="C34" s="19"/>
      <c r="D34" s="19"/>
      <c r="E34" s="30" t="s">
        <v>111</v>
      </c>
      <c r="F34" s="77" t="s">
        <v>104</v>
      </c>
      <c r="G34" s="30" t="s">
        <v>50</v>
      </c>
      <c r="H34" s="30" t="n">
        <v>42</v>
      </c>
      <c r="I34" s="30" t="s">
        <v>39</v>
      </c>
      <c r="J34" s="30" t="s">
        <v>40</v>
      </c>
      <c r="K34" s="32" t="n">
        <v>931</v>
      </c>
      <c r="L34" s="33" t="n">
        <f aca="false">K34*M34</f>
        <v>9310</v>
      </c>
      <c r="M34" s="30" t="n">
        <v>10</v>
      </c>
      <c r="N34" s="78" t="s">
        <v>68</v>
      </c>
      <c r="O34" s="79" t="s">
        <v>69</v>
      </c>
      <c r="Q34" s="57" t="n">
        <f aca="false">(H34*L34)/1000</f>
        <v>391.02</v>
      </c>
      <c r="R34" s="57" t="n">
        <f aca="false">M34</f>
        <v>10</v>
      </c>
      <c r="S34" s="58"/>
      <c r="T34" s="26"/>
      <c r="W34" s="27"/>
    </row>
    <row r="35" customFormat="false" ht="15" hidden="false" customHeight="true" outlineLevel="0" collapsed="false">
      <c r="A35" s="28" t="n">
        <v>4.1</v>
      </c>
      <c r="B35" s="18"/>
      <c r="C35" s="19"/>
      <c r="D35" s="19"/>
      <c r="E35" s="30" t="s">
        <v>111</v>
      </c>
      <c r="F35" s="77" t="s">
        <v>104</v>
      </c>
      <c r="G35" s="30" t="s">
        <v>50</v>
      </c>
      <c r="H35" s="30" t="n">
        <v>42</v>
      </c>
      <c r="I35" s="30" t="s">
        <v>98</v>
      </c>
      <c r="J35" s="30" t="s">
        <v>113</v>
      </c>
      <c r="K35" s="32" t="n">
        <v>931</v>
      </c>
      <c r="L35" s="33" t="n">
        <f aca="false">K35*M35</f>
        <v>5586</v>
      </c>
      <c r="M35" s="30" t="n">
        <v>6</v>
      </c>
      <c r="N35" s="78" t="s">
        <v>68</v>
      </c>
      <c r="O35" s="79" t="s">
        <v>69</v>
      </c>
      <c r="Q35" s="57" t="n">
        <f aca="false">(H35*L35)/1000</f>
        <v>234.612</v>
      </c>
      <c r="R35" s="57" t="n">
        <f aca="false">M35</f>
        <v>6</v>
      </c>
      <c r="S35" s="58"/>
      <c r="T35" s="26"/>
      <c r="W35" s="27"/>
    </row>
    <row r="36" customFormat="false" ht="15" hidden="false" customHeight="true" outlineLevel="0" collapsed="false">
      <c r="A36" s="28" t="n">
        <v>4.2</v>
      </c>
      <c r="B36" s="36" t="s">
        <v>114</v>
      </c>
      <c r="C36" s="37" t="s">
        <v>115</v>
      </c>
      <c r="D36" s="37" t="n">
        <v>2</v>
      </c>
      <c r="E36" s="30" t="s">
        <v>116</v>
      </c>
      <c r="F36" s="77" t="s">
        <v>117</v>
      </c>
      <c r="G36" s="30" t="s">
        <v>50</v>
      </c>
      <c r="H36" s="30" t="n">
        <v>40</v>
      </c>
      <c r="I36" s="30" t="s">
        <v>66</v>
      </c>
      <c r="J36" s="30" t="s">
        <v>46</v>
      </c>
      <c r="K36" s="32" t="n">
        <v>980</v>
      </c>
      <c r="L36" s="33" t="n">
        <f aca="false">K36*M36</f>
        <v>41160</v>
      </c>
      <c r="M36" s="30" t="n">
        <v>42</v>
      </c>
      <c r="N36" s="80" t="s">
        <v>32</v>
      </c>
      <c r="O36" s="79" t="s">
        <v>69</v>
      </c>
      <c r="Q36" s="57" t="n">
        <f aca="false">(H36*L36)/1000</f>
        <v>1646.4</v>
      </c>
      <c r="R36" s="57" t="n">
        <f aca="false">M36</f>
        <v>42</v>
      </c>
      <c r="S36" s="58"/>
      <c r="T36" s="26"/>
      <c r="W36" s="27"/>
    </row>
    <row r="37" customFormat="false" ht="15" hidden="false" customHeight="true" outlineLevel="0" collapsed="false">
      <c r="A37" s="28" t="n">
        <v>4.2</v>
      </c>
      <c r="B37" s="36"/>
      <c r="C37" s="37"/>
      <c r="D37" s="37"/>
      <c r="E37" s="37" t="s">
        <v>118</v>
      </c>
      <c r="F37" s="81" t="s">
        <v>117</v>
      </c>
      <c r="G37" s="37" t="s">
        <v>50</v>
      </c>
      <c r="H37" s="37" t="n">
        <v>40</v>
      </c>
      <c r="I37" s="37" t="s">
        <v>66</v>
      </c>
      <c r="J37" s="37" t="s">
        <v>46</v>
      </c>
      <c r="K37" s="40" t="n">
        <v>980</v>
      </c>
      <c r="L37" s="41" t="n">
        <f aca="false">K37*M37</f>
        <v>14700</v>
      </c>
      <c r="M37" s="37" t="n">
        <v>15</v>
      </c>
      <c r="N37" s="82" t="s">
        <v>32</v>
      </c>
      <c r="O37" s="83" t="s">
        <v>69</v>
      </c>
      <c r="Q37" s="57" t="n">
        <f aca="false">(H37*L37)/1000</f>
        <v>588</v>
      </c>
      <c r="R37" s="57" t="n">
        <f aca="false">M37</f>
        <v>15</v>
      </c>
      <c r="S37" s="58"/>
      <c r="T37" s="26"/>
      <c r="W37" s="27"/>
    </row>
    <row r="38" customFormat="false" ht="15" hidden="false" customHeight="true" outlineLevel="0" collapsed="false">
      <c r="A38" s="84" t="n">
        <v>4</v>
      </c>
      <c r="B38" s="85"/>
      <c r="C38" s="66"/>
      <c r="D38" s="66"/>
      <c r="E38" s="66"/>
      <c r="F38" s="86"/>
      <c r="G38" s="66"/>
      <c r="H38" s="66"/>
      <c r="I38" s="66"/>
      <c r="J38" s="66"/>
      <c r="K38" s="68"/>
      <c r="L38" s="68"/>
      <c r="M38" s="66" t="n">
        <f aca="false">SUM(M27:M37)</f>
        <v>95</v>
      </c>
      <c r="N38" s="86"/>
      <c r="O38" s="87"/>
      <c r="P38" s="70" t="str">
        <f aca="false">IFERROR(VLOOKUP(A38,[1]WHouse!$B$4:$G$18,6,0),"")</f>
        <v/>
      </c>
      <c r="Q38" s="71" t="n">
        <f aca="false">SUM(Q27:Q37)</f>
        <v>3720.276</v>
      </c>
      <c r="R38" s="71" t="n">
        <f aca="false">SUM(R27:R37)</f>
        <v>95</v>
      </c>
      <c r="S38" s="72" t="n">
        <f aca="false">SUM(Q38:R38)</f>
        <v>3815.276</v>
      </c>
      <c r="T38" s="73" t="n">
        <f aca="false">S38-(S38*0.04)</f>
        <v>3662.66496</v>
      </c>
      <c r="U38" s="73" t="n">
        <f aca="false">S38+(S38*0.04)</f>
        <v>3967.88704</v>
      </c>
      <c r="V38" s="73" t="n">
        <f aca="false">U38+(0.06*U38)</f>
        <v>4205.9602624</v>
      </c>
      <c r="W38" s="74" t="n">
        <f aca="false">U38+(0.1*U38)</f>
        <v>4364.675744</v>
      </c>
    </row>
    <row r="39" customFormat="false" ht="15" hidden="false" customHeight="true" outlineLevel="0" collapsed="false">
      <c r="A39" s="28" t="n">
        <v>5.2</v>
      </c>
      <c r="B39" s="18" t="s">
        <v>119</v>
      </c>
      <c r="C39" s="19" t="s">
        <v>120</v>
      </c>
      <c r="D39" s="19" t="n">
        <v>2</v>
      </c>
      <c r="E39" s="19" t="s">
        <v>121</v>
      </c>
      <c r="F39" s="88" t="s">
        <v>122</v>
      </c>
      <c r="G39" s="19" t="s">
        <v>44</v>
      </c>
      <c r="H39" s="19" t="n">
        <v>30</v>
      </c>
      <c r="I39" s="19" t="s">
        <v>123</v>
      </c>
      <c r="J39" s="19" t="s">
        <v>124</v>
      </c>
      <c r="K39" s="21" t="n">
        <v>1152</v>
      </c>
      <c r="L39" s="21" t="n">
        <f aca="false">K39*M39</f>
        <v>11520</v>
      </c>
      <c r="M39" s="19" t="n">
        <v>10</v>
      </c>
      <c r="N39" s="89" t="s">
        <v>32</v>
      </c>
      <c r="O39" s="90" t="s">
        <v>69</v>
      </c>
      <c r="Q39" s="57" t="n">
        <f aca="false">(H39*L39)/1000</f>
        <v>345.6</v>
      </c>
      <c r="R39" s="57" t="n">
        <f aca="false">M39</f>
        <v>10</v>
      </c>
      <c r="S39" s="58" t="n">
        <f aca="false">SUM(Q39:R46)</f>
        <v>2898.4</v>
      </c>
      <c r="T39" s="26"/>
      <c r="W39" s="27"/>
    </row>
    <row r="40" customFormat="false" ht="15" hidden="false" customHeight="true" outlineLevel="0" collapsed="false">
      <c r="A40" s="28" t="n">
        <v>5.2</v>
      </c>
      <c r="B40" s="18"/>
      <c r="C40" s="19"/>
      <c r="D40" s="19"/>
      <c r="E40" s="30" t="s">
        <v>121</v>
      </c>
      <c r="F40" s="77" t="s">
        <v>122</v>
      </c>
      <c r="G40" s="30" t="s">
        <v>44</v>
      </c>
      <c r="H40" s="30" t="n">
        <v>30</v>
      </c>
      <c r="I40" s="30" t="s">
        <v>123</v>
      </c>
      <c r="J40" s="30" t="s">
        <v>124</v>
      </c>
      <c r="K40" s="32" t="n">
        <v>1152</v>
      </c>
      <c r="L40" s="33" t="n">
        <f aca="false">K40*M40</f>
        <v>11520</v>
      </c>
      <c r="M40" s="30" t="n">
        <v>10</v>
      </c>
      <c r="N40" s="77" t="s">
        <v>68</v>
      </c>
      <c r="O40" s="79" t="s">
        <v>69</v>
      </c>
      <c r="Q40" s="57" t="n">
        <f aca="false">(H40*L40)/1000</f>
        <v>345.6</v>
      </c>
      <c r="R40" s="57" t="n">
        <f aca="false">M40</f>
        <v>10</v>
      </c>
      <c r="S40" s="58"/>
      <c r="T40" s="26"/>
      <c r="W40" s="27"/>
    </row>
    <row r="41" customFormat="false" ht="15" hidden="false" customHeight="true" outlineLevel="0" collapsed="false">
      <c r="A41" s="28" t="n">
        <v>5.2</v>
      </c>
      <c r="B41" s="18"/>
      <c r="C41" s="19"/>
      <c r="D41" s="19"/>
      <c r="E41" s="30" t="s">
        <v>125</v>
      </c>
      <c r="F41" s="77" t="s">
        <v>122</v>
      </c>
      <c r="G41" s="30" t="s">
        <v>44</v>
      </c>
      <c r="H41" s="30" t="n">
        <v>30</v>
      </c>
      <c r="I41" s="30" t="s">
        <v>123</v>
      </c>
      <c r="J41" s="30" t="s">
        <v>124</v>
      </c>
      <c r="K41" s="32" t="n">
        <v>1152</v>
      </c>
      <c r="L41" s="33" t="n">
        <f aca="false">K41*M41</f>
        <v>11520</v>
      </c>
      <c r="M41" s="30" t="n">
        <v>10</v>
      </c>
      <c r="N41" s="80" t="s">
        <v>32</v>
      </c>
      <c r="O41" s="79" t="s">
        <v>69</v>
      </c>
      <c r="Q41" s="57" t="n">
        <f aca="false">(H41*L41)/1000</f>
        <v>345.6</v>
      </c>
      <c r="R41" s="57" t="n">
        <f aca="false">M41</f>
        <v>10</v>
      </c>
      <c r="S41" s="58"/>
      <c r="T41" s="26"/>
      <c r="W41" s="27"/>
    </row>
    <row r="42" customFormat="false" ht="15" hidden="false" customHeight="true" outlineLevel="0" collapsed="false">
      <c r="A42" s="28" t="n">
        <v>5.2</v>
      </c>
      <c r="B42" s="18"/>
      <c r="C42" s="19"/>
      <c r="D42" s="19"/>
      <c r="E42" s="30" t="s">
        <v>126</v>
      </c>
      <c r="F42" s="77" t="s">
        <v>127</v>
      </c>
      <c r="G42" s="30" t="s">
        <v>44</v>
      </c>
      <c r="H42" s="30" t="n">
        <v>30</v>
      </c>
      <c r="I42" s="30" t="s">
        <v>112</v>
      </c>
      <c r="J42" s="30" t="s">
        <v>128</v>
      </c>
      <c r="K42" s="32" t="n">
        <v>1152</v>
      </c>
      <c r="L42" s="33" t="n">
        <f aca="false">K42*M42</f>
        <v>11520</v>
      </c>
      <c r="M42" s="30" t="n">
        <v>10</v>
      </c>
      <c r="N42" s="77" t="s">
        <v>68</v>
      </c>
      <c r="O42" s="79" t="s">
        <v>69</v>
      </c>
      <c r="Q42" s="57" t="n">
        <f aca="false">(H42*L42)/1000</f>
        <v>345.6</v>
      </c>
      <c r="R42" s="57" t="n">
        <f aca="false">M42</f>
        <v>10</v>
      </c>
      <c r="S42" s="58"/>
      <c r="T42" s="26"/>
      <c r="W42" s="27"/>
    </row>
    <row r="43" customFormat="false" ht="15" hidden="false" customHeight="true" outlineLevel="0" collapsed="false">
      <c r="A43" s="28" t="n">
        <v>5.2</v>
      </c>
      <c r="B43" s="18"/>
      <c r="C43" s="19"/>
      <c r="D43" s="19"/>
      <c r="E43" s="30" t="s">
        <v>126</v>
      </c>
      <c r="F43" s="77" t="s">
        <v>127</v>
      </c>
      <c r="G43" s="30" t="s">
        <v>44</v>
      </c>
      <c r="H43" s="30" t="n">
        <v>30</v>
      </c>
      <c r="I43" s="30" t="s">
        <v>129</v>
      </c>
      <c r="J43" s="30" t="s">
        <v>110</v>
      </c>
      <c r="K43" s="32" t="n">
        <v>1152</v>
      </c>
      <c r="L43" s="33" t="n">
        <f aca="false">K43*M43</f>
        <v>23040</v>
      </c>
      <c r="M43" s="30" t="n">
        <v>20</v>
      </c>
      <c r="N43" s="77" t="s">
        <v>68</v>
      </c>
      <c r="O43" s="79" t="s">
        <v>69</v>
      </c>
      <c r="Q43" s="57" t="n">
        <f aca="false">(H43*L43)/1000</f>
        <v>691.2</v>
      </c>
      <c r="R43" s="57" t="n">
        <f aca="false">M43</f>
        <v>20</v>
      </c>
      <c r="S43" s="58"/>
      <c r="T43" s="26"/>
      <c r="W43" s="27"/>
    </row>
    <row r="44" customFormat="false" ht="15" hidden="false" customHeight="true" outlineLevel="0" collapsed="false">
      <c r="A44" s="28" t="n">
        <v>5.3</v>
      </c>
      <c r="B44" s="29" t="s">
        <v>130</v>
      </c>
      <c r="C44" s="30" t="s">
        <v>62</v>
      </c>
      <c r="D44" s="30" t="n">
        <v>3</v>
      </c>
      <c r="E44" s="30" t="s">
        <v>131</v>
      </c>
      <c r="F44" s="77" t="s">
        <v>132</v>
      </c>
      <c r="G44" s="30" t="s">
        <v>50</v>
      </c>
      <c r="H44" s="30" t="n">
        <v>40</v>
      </c>
      <c r="I44" s="30" t="s">
        <v>51</v>
      </c>
      <c r="J44" s="30" t="s">
        <v>75</v>
      </c>
      <c r="K44" s="32" t="n">
        <v>931</v>
      </c>
      <c r="L44" s="33" t="n">
        <f aca="false">K44*M44</f>
        <v>4655</v>
      </c>
      <c r="M44" s="30" t="n">
        <v>5</v>
      </c>
      <c r="N44" s="77" t="s">
        <v>68</v>
      </c>
      <c r="O44" s="79" t="s">
        <v>69</v>
      </c>
      <c r="Q44" s="57" t="n">
        <f aca="false">(H44*L44)/1000</f>
        <v>186.2</v>
      </c>
      <c r="R44" s="57" t="n">
        <f aca="false">M44</f>
        <v>5</v>
      </c>
      <c r="S44" s="58"/>
      <c r="T44" s="26"/>
      <c r="W44" s="27"/>
    </row>
    <row r="45" customFormat="false" ht="15" hidden="false" customHeight="true" outlineLevel="0" collapsed="false">
      <c r="A45" s="28" t="n">
        <v>5.3</v>
      </c>
      <c r="B45" s="29"/>
      <c r="C45" s="30"/>
      <c r="D45" s="30"/>
      <c r="E45" s="30" t="s">
        <v>133</v>
      </c>
      <c r="F45" s="77" t="s">
        <v>134</v>
      </c>
      <c r="G45" s="30" t="s">
        <v>50</v>
      </c>
      <c r="H45" s="30" t="n">
        <v>40</v>
      </c>
      <c r="I45" s="30" t="s">
        <v>123</v>
      </c>
      <c r="J45" s="30" t="s">
        <v>40</v>
      </c>
      <c r="K45" s="32" t="n">
        <v>931</v>
      </c>
      <c r="L45" s="33" t="n">
        <f aca="false">K45*M45</f>
        <v>4655</v>
      </c>
      <c r="M45" s="30" t="n">
        <v>5</v>
      </c>
      <c r="N45" s="77" t="s">
        <v>68</v>
      </c>
      <c r="O45" s="79" t="s">
        <v>69</v>
      </c>
      <c r="Q45" s="57" t="n">
        <f aca="false">(H45*L45)/1000</f>
        <v>186.2</v>
      </c>
      <c r="R45" s="57" t="n">
        <f aca="false">M45</f>
        <v>5</v>
      </c>
      <c r="S45" s="58"/>
      <c r="T45" s="26"/>
      <c r="W45" s="27"/>
    </row>
    <row r="46" customFormat="false" ht="15" hidden="false" customHeight="true" outlineLevel="0" collapsed="false">
      <c r="A46" s="61" t="n">
        <v>5.1</v>
      </c>
      <c r="B46" s="36" t="s">
        <v>135</v>
      </c>
      <c r="C46" s="37" t="s">
        <v>120</v>
      </c>
      <c r="D46" s="37" t="n">
        <v>1</v>
      </c>
      <c r="E46" s="37" t="s">
        <v>136</v>
      </c>
      <c r="F46" s="81" t="s">
        <v>137</v>
      </c>
      <c r="G46" s="37" t="s">
        <v>50</v>
      </c>
      <c r="H46" s="37" t="n">
        <v>40</v>
      </c>
      <c r="I46" s="37" t="s">
        <v>108</v>
      </c>
      <c r="J46" s="37" t="s">
        <v>57</v>
      </c>
      <c r="K46" s="40" t="n">
        <v>931</v>
      </c>
      <c r="L46" s="41" t="n">
        <f aca="false">K46*M46</f>
        <v>9310</v>
      </c>
      <c r="M46" s="37" t="n">
        <v>10</v>
      </c>
      <c r="N46" s="81" t="s">
        <v>68</v>
      </c>
      <c r="O46" s="83" t="s">
        <v>69</v>
      </c>
      <c r="Q46" s="57" t="n">
        <f aca="false">(H46*L46)/1000</f>
        <v>372.4</v>
      </c>
      <c r="R46" s="57" t="n">
        <f aca="false">M46</f>
        <v>10</v>
      </c>
      <c r="S46" s="58"/>
      <c r="T46" s="26"/>
      <c r="W46" s="27"/>
    </row>
    <row r="47" customFormat="false" ht="15" hidden="false" customHeight="true" outlineLevel="0" collapsed="false">
      <c r="A47" s="64" t="n">
        <v>5</v>
      </c>
      <c r="B47" s="65"/>
      <c r="C47" s="66"/>
      <c r="D47" s="66"/>
      <c r="E47" s="66"/>
      <c r="F47" s="86"/>
      <c r="G47" s="66"/>
      <c r="H47" s="66"/>
      <c r="I47" s="66"/>
      <c r="J47" s="66"/>
      <c r="K47" s="68"/>
      <c r="L47" s="68"/>
      <c r="M47" s="66" t="n">
        <f aca="false">SUM(M39:M46)</f>
        <v>80</v>
      </c>
      <c r="N47" s="86"/>
      <c r="O47" s="87"/>
      <c r="P47" s="70" t="str">
        <f aca="false">IFERROR(VLOOKUP(A47,[1]WHouse!$B$4:$G$18,6,0),"")</f>
        <v/>
      </c>
      <c r="Q47" s="71" t="n">
        <f aca="false">SUM(Q39:Q46)</f>
        <v>2818.4</v>
      </c>
      <c r="R47" s="71" t="n">
        <f aca="false">SUM(R39:R46)</f>
        <v>80</v>
      </c>
      <c r="S47" s="72" t="n">
        <f aca="false">SUM(Q47:R47)</f>
        <v>2898.4</v>
      </c>
      <c r="T47" s="73" t="n">
        <f aca="false">S47-(S47*0.04)</f>
        <v>2782.464</v>
      </c>
      <c r="U47" s="73" t="n">
        <f aca="false">S47+(S47*0.04)</f>
        <v>3014.336</v>
      </c>
      <c r="V47" s="73" t="n">
        <f aca="false">U47+(0.06*U47)</f>
        <v>3195.19616</v>
      </c>
      <c r="W47" s="74" t="n">
        <f aca="false">U47+(0.1*U47)</f>
        <v>3315.7696</v>
      </c>
    </row>
    <row r="48" customFormat="false" ht="15" hidden="false" customHeight="true" outlineLevel="0" collapsed="false">
      <c r="A48" s="17" t="n">
        <v>6.1</v>
      </c>
      <c r="B48" s="91" t="s">
        <v>138</v>
      </c>
      <c r="C48" s="92" t="s">
        <v>87</v>
      </c>
      <c r="D48" s="92" t="n">
        <v>1</v>
      </c>
      <c r="E48" s="19" t="s">
        <v>139</v>
      </c>
      <c r="F48" s="88" t="s">
        <v>140</v>
      </c>
      <c r="G48" s="19" t="s">
        <v>141</v>
      </c>
      <c r="H48" s="19" t="n">
        <v>230</v>
      </c>
      <c r="I48" s="19" t="s">
        <v>30</v>
      </c>
      <c r="J48" s="19" t="s">
        <v>31</v>
      </c>
      <c r="K48" s="21" t="n">
        <v>480</v>
      </c>
      <c r="L48" s="21" t="n">
        <f aca="false">K48*M48</f>
        <v>4320</v>
      </c>
      <c r="M48" s="19" t="n">
        <v>9</v>
      </c>
      <c r="N48" s="88" t="s">
        <v>68</v>
      </c>
      <c r="O48" s="90" t="s">
        <v>69</v>
      </c>
      <c r="Q48" s="57" t="n">
        <f aca="false">(H48*L48)/1000</f>
        <v>993.6</v>
      </c>
      <c r="R48" s="57" t="n">
        <f aca="false">M48</f>
        <v>9</v>
      </c>
      <c r="S48" s="58" t="n">
        <f aca="false">SUM(Q48:R49)</f>
        <v>2035.44</v>
      </c>
      <c r="T48" s="26"/>
      <c r="W48" s="27"/>
    </row>
    <row r="49" customFormat="false" ht="15" hidden="false" customHeight="true" outlineLevel="0" collapsed="false">
      <c r="A49" s="61" t="n">
        <v>6.1</v>
      </c>
      <c r="B49" s="91"/>
      <c r="C49" s="92"/>
      <c r="D49" s="92"/>
      <c r="E49" s="37" t="s">
        <v>139</v>
      </c>
      <c r="F49" s="81" t="s">
        <v>142</v>
      </c>
      <c r="G49" s="37" t="s">
        <v>143</v>
      </c>
      <c r="H49" s="37" t="n">
        <v>237</v>
      </c>
      <c r="I49" s="37" t="s">
        <v>30</v>
      </c>
      <c r="J49" s="37" t="s">
        <v>31</v>
      </c>
      <c r="K49" s="40" t="n">
        <v>480</v>
      </c>
      <c r="L49" s="41" t="n">
        <f aca="false">K49*M49</f>
        <v>4320</v>
      </c>
      <c r="M49" s="37" t="n">
        <v>9</v>
      </c>
      <c r="N49" s="81" t="s">
        <v>68</v>
      </c>
      <c r="O49" s="83" t="s">
        <v>69</v>
      </c>
      <c r="Q49" s="57" t="n">
        <f aca="false">(H49*L49)/1000</f>
        <v>1023.84</v>
      </c>
      <c r="R49" s="57" t="n">
        <f aca="false">M49</f>
        <v>9</v>
      </c>
      <c r="S49" s="58"/>
      <c r="T49" s="26"/>
      <c r="W49" s="27"/>
    </row>
    <row r="50" customFormat="false" ht="15" hidden="false" customHeight="true" outlineLevel="0" collapsed="false">
      <c r="A50" s="64" t="n">
        <v>6</v>
      </c>
      <c r="B50" s="65"/>
      <c r="C50" s="66"/>
      <c r="D50" s="66"/>
      <c r="E50" s="66"/>
      <c r="F50" s="86"/>
      <c r="G50" s="66"/>
      <c r="H50" s="66"/>
      <c r="I50" s="66"/>
      <c r="J50" s="66"/>
      <c r="K50" s="68"/>
      <c r="L50" s="68"/>
      <c r="M50" s="66" t="n">
        <f aca="false">SUM(M48:M49)</f>
        <v>18</v>
      </c>
      <c r="N50" s="86"/>
      <c r="O50" s="87"/>
      <c r="P50" s="70" t="str">
        <f aca="false">IFERROR(VLOOKUP(A50,[1]WHouse!$B$4:$G$18,6,0),"")</f>
        <v/>
      </c>
      <c r="Q50" s="71" t="n">
        <f aca="false">SUM(Q48:Q49)</f>
        <v>2017.44</v>
      </c>
      <c r="R50" s="71" t="n">
        <f aca="false">SUM(R48:R49)</f>
        <v>18</v>
      </c>
      <c r="S50" s="72" t="n">
        <f aca="false">SUM(Q50:R50)</f>
        <v>2035.44</v>
      </c>
      <c r="T50" s="73" t="n">
        <f aca="false">S50-(S50*0.04)</f>
        <v>1954.0224</v>
      </c>
      <c r="U50" s="73" t="n">
        <f aca="false">S50+(S50*0.04)</f>
        <v>2116.8576</v>
      </c>
      <c r="V50" s="73" t="n">
        <f aca="false">U50+(0.06*U50)</f>
        <v>2243.869056</v>
      </c>
      <c r="W50" s="74" t="n">
        <f aca="false">U50+(0.1*U50)</f>
        <v>2328.54336</v>
      </c>
    </row>
    <row r="51" customFormat="false" ht="15" hidden="false" customHeight="true" outlineLevel="0" collapsed="false">
      <c r="A51" s="17" t="n">
        <v>7.1</v>
      </c>
      <c r="B51" s="18" t="s">
        <v>144</v>
      </c>
      <c r="C51" s="19" t="s">
        <v>26</v>
      </c>
      <c r="D51" s="19" t="n">
        <v>1</v>
      </c>
      <c r="E51" s="19" t="s">
        <v>145</v>
      </c>
      <c r="F51" s="20" t="s">
        <v>146</v>
      </c>
      <c r="G51" s="19" t="s">
        <v>147</v>
      </c>
      <c r="H51" s="19" t="n">
        <v>237</v>
      </c>
      <c r="I51" s="19" t="s">
        <v>66</v>
      </c>
      <c r="J51" s="19" t="s">
        <v>66</v>
      </c>
      <c r="K51" s="21" t="n">
        <v>3000</v>
      </c>
      <c r="L51" s="21" t="n">
        <f aca="false">K51*M51</f>
        <v>6000</v>
      </c>
      <c r="M51" s="19" t="n">
        <v>2</v>
      </c>
      <c r="N51" s="20" t="s">
        <v>32</v>
      </c>
      <c r="O51" s="23" t="s">
        <v>69</v>
      </c>
      <c r="Q51" s="57" t="n">
        <f aca="false">(H51*L51)/1000</f>
        <v>1422</v>
      </c>
      <c r="R51" s="57" t="n">
        <f aca="false">M51</f>
        <v>2</v>
      </c>
      <c r="S51" s="58" t="n">
        <f aca="false">SUM(Q51:R55)</f>
        <v>2630</v>
      </c>
      <c r="T51" s="26"/>
      <c r="W51" s="27"/>
    </row>
    <row r="52" customFormat="false" ht="15" hidden="false" customHeight="true" outlineLevel="0" collapsed="false">
      <c r="A52" s="28" t="n">
        <v>7.2</v>
      </c>
      <c r="B52" s="36" t="s">
        <v>148</v>
      </c>
      <c r="C52" s="37" t="s">
        <v>26</v>
      </c>
      <c r="D52" s="37" t="n">
        <v>2</v>
      </c>
      <c r="E52" s="30" t="s">
        <v>149</v>
      </c>
      <c r="F52" s="77" t="s">
        <v>150</v>
      </c>
      <c r="G52" s="30" t="s">
        <v>50</v>
      </c>
      <c r="H52" s="30" t="n">
        <v>40</v>
      </c>
      <c r="I52" s="30" t="s">
        <v>51</v>
      </c>
      <c r="J52" s="30" t="s">
        <v>113</v>
      </c>
      <c r="K52" s="32" t="n">
        <v>980</v>
      </c>
      <c r="L52" s="33" t="n">
        <f aca="false">K52*M52</f>
        <v>9800</v>
      </c>
      <c r="M52" s="30" t="n">
        <v>10</v>
      </c>
      <c r="N52" s="31" t="s">
        <v>32</v>
      </c>
      <c r="O52" s="60" t="s">
        <v>69</v>
      </c>
      <c r="Q52" s="57" t="n">
        <f aca="false">(H52*L52)/1000</f>
        <v>392</v>
      </c>
      <c r="R52" s="57" t="n">
        <f aca="false">M52</f>
        <v>10</v>
      </c>
      <c r="S52" s="58"/>
      <c r="T52" s="26"/>
      <c r="W52" s="27"/>
    </row>
    <row r="53" customFormat="false" ht="15" hidden="false" customHeight="true" outlineLevel="0" collapsed="false">
      <c r="A53" s="28" t="n">
        <v>7.2</v>
      </c>
      <c r="B53" s="36"/>
      <c r="C53" s="37"/>
      <c r="D53" s="37"/>
      <c r="E53" s="30" t="s">
        <v>149</v>
      </c>
      <c r="F53" s="77" t="s">
        <v>150</v>
      </c>
      <c r="G53" s="30" t="s">
        <v>50</v>
      </c>
      <c r="H53" s="30" t="n">
        <v>40</v>
      </c>
      <c r="I53" s="93" t="s">
        <v>59</v>
      </c>
      <c r="J53" s="30" t="s">
        <v>113</v>
      </c>
      <c r="K53" s="32" t="n">
        <v>980</v>
      </c>
      <c r="L53" s="33" t="n">
        <f aca="false">K53*M53</f>
        <v>4900</v>
      </c>
      <c r="M53" s="30" t="n">
        <v>5</v>
      </c>
      <c r="N53" s="31" t="s">
        <v>32</v>
      </c>
      <c r="O53" s="60" t="s">
        <v>69</v>
      </c>
      <c r="Q53" s="57" t="n">
        <f aca="false">(H53*L53)/1000</f>
        <v>196</v>
      </c>
      <c r="R53" s="57" t="n">
        <f aca="false">M53</f>
        <v>5</v>
      </c>
      <c r="S53" s="58"/>
      <c r="T53" s="26"/>
      <c r="W53" s="27"/>
    </row>
    <row r="54" customFormat="false" ht="15" hidden="false" customHeight="true" outlineLevel="0" collapsed="false">
      <c r="A54" s="28" t="n">
        <v>7.2</v>
      </c>
      <c r="B54" s="36"/>
      <c r="C54" s="37"/>
      <c r="D54" s="37"/>
      <c r="E54" s="30" t="s">
        <v>149</v>
      </c>
      <c r="F54" s="77" t="s">
        <v>150</v>
      </c>
      <c r="G54" s="30" t="s">
        <v>50</v>
      </c>
      <c r="H54" s="30" t="n">
        <v>40</v>
      </c>
      <c r="I54" s="30" t="s">
        <v>123</v>
      </c>
      <c r="J54" s="30" t="s">
        <v>151</v>
      </c>
      <c r="K54" s="32" t="n">
        <v>980</v>
      </c>
      <c r="L54" s="33" t="n">
        <f aca="false">K54*M54</f>
        <v>4900</v>
      </c>
      <c r="M54" s="30" t="n">
        <v>5</v>
      </c>
      <c r="N54" s="31" t="s">
        <v>32</v>
      </c>
      <c r="O54" s="60" t="s">
        <v>69</v>
      </c>
      <c r="Q54" s="57" t="n">
        <f aca="false">(H54*L54)/1000</f>
        <v>196</v>
      </c>
      <c r="R54" s="57" t="n">
        <f aca="false">M54</f>
        <v>5</v>
      </c>
      <c r="S54" s="58"/>
      <c r="T54" s="26"/>
      <c r="W54" s="27"/>
    </row>
    <row r="55" customFormat="false" ht="15" hidden="false" customHeight="true" outlineLevel="0" collapsed="false">
      <c r="A55" s="28" t="n">
        <v>7.2</v>
      </c>
      <c r="B55" s="36"/>
      <c r="C55" s="37"/>
      <c r="D55" s="37"/>
      <c r="E55" s="37" t="s">
        <v>149</v>
      </c>
      <c r="F55" s="81" t="s">
        <v>150</v>
      </c>
      <c r="G55" s="37" t="s">
        <v>50</v>
      </c>
      <c r="H55" s="37" t="n">
        <v>40</v>
      </c>
      <c r="I55" s="37" t="s">
        <v>123</v>
      </c>
      <c r="J55" s="37" t="s">
        <v>151</v>
      </c>
      <c r="K55" s="40" t="n">
        <v>980</v>
      </c>
      <c r="L55" s="41" t="n">
        <f aca="false">K55*M55</f>
        <v>9800</v>
      </c>
      <c r="M55" s="37" t="n">
        <v>10</v>
      </c>
      <c r="N55" s="81" t="s">
        <v>68</v>
      </c>
      <c r="O55" s="63" t="s">
        <v>69</v>
      </c>
      <c r="Q55" s="57" t="n">
        <f aca="false">(H55*L55)/1000</f>
        <v>392</v>
      </c>
      <c r="R55" s="57" t="n">
        <f aca="false">M55</f>
        <v>10</v>
      </c>
      <c r="S55" s="58"/>
      <c r="T55" s="26"/>
      <c r="W55" s="27"/>
    </row>
    <row r="56" customFormat="false" ht="15" hidden="false" customHeight="true" outlineLevel="0" collapsed="false">
      <c r="A56" s="84" t="n">
        <v>7</v>
      </c>
      <c r="B56" s="85"/>
      <c r="C56" s="66"/>
      <c r="D56" s="66"/>
      <c r="E56" s="66"/>
      <c r="F56" s="86"/>
      <c r="G56" s="66"/>
      <c r="H56" s="66"/>
      <c r="I56" s="66"/>
      <c r="J56" s="66"/>
      <c r="K56" s="68"/>
      <c r="L56" s="68"/>
      <c r="M56" s="66" t="n">
        <f aca="false">SUM(M51:M55)</f>
        <v>32</v>
      </c>
      <c r="N56" s="86"/>
      <c r="O56" s="69"/>
      <c r="P56" s="70" t="str">
        <f aca="false">IFERROR(VLOOKUP(A56,[1]WHouse!$B$4:$G$18,6,0),"")</f>
        <v/>
      </c>
      <c r="Q56" s="71" t="n">
        <f aca="false">SUM(Q51:Q55)</f>
        <v>2598</v>
      </c>
      <c r="R56" s="71" t="n">
        <f aca="false">SUM(R51:R55)</f>
        <v>32</v>
      </c>
      <c r="S56" s="72" t="n">
        <f aca="false">SUM(Q56:R56)</f>
        <v>2630</v>
      </c>
      <c r="T56" s="73" t="n">
        <f aca="false">S56-(S56*0.04)</f>
        <v>2524.8</v>
      </c>
      <c r="U56" s="73" t="n">
        <f aca="false">S56+(S56*0.04)</f>
        <v>2735.2</v>
      </c>
      <c r="V56" s="73" t="n">
        <f aca="false">U56+(0.06*U56)</f>
        <v>2899.312</v>
      </c>
      <c r="W56" s="74" t="n">
        <f aca="false">U56+(0.1*U56)</f>
        <v>3008.72</v>
      </c>
    </row>
    <row r="57" customFormat="false" ht="15" hidden="false" customHeight="true" outlineLevel="0" collapsed="false">
      <c r="A57" s="17" t="n">
        <v>8.1</v>
      </c>
      <c r="B57" s="18" t="s">
        <v>152</v>
      </c>
      <c r="C57" s="19" t="s">
        <v>153</v>
      </c>
      <c r="D57" s="19" t="n">
        <v>1</v>
      </c>
      <c r="E57" s="19" t="s">
        <v>154</v>
      </c>
      <c r="F57" s="88" t="s">
        <v>155</v>
      </c>
      <c r="G57" s="19" t="s">
        <v>50</v>
      </c>
      <c r="H57" s="19" t="n">
        <v>42</v>
      </c>
      <c r="I57" s="19" t="s">
        <v>123</v>
      </c>
      <c r="J57" s="19" t="s">
        <v>40</v>
      </c>
      <c r="K57" s="21" t="n">
        <v>931</v>
      </c>
      <c r="L57" s="21" t="n">
        <f aca="false">K57*M57</f>
        <v>1862</v>
      </c>
      <c r="M57" s="19" t="n">
        <v>2</v>
      </c>
      <c r="N57" s="89" t="s">
        <v>32</v>
      </c>
      <c r="O57" s="90" t="s">
        <v>33</v>
      </c>
      <c r="Q57" s="57" t="n">
        <f aca="false">(H57*L57)/1000</f>
        <v>78.204</v>
      </c>
      <c r="R57" s="57" t="n">
        <f aca="false">M57</f>
        <v>2</v>
      </c>
      <c r="S57" s="58" t="n">
        <f aca="false">SUM(Q57:R62)</f>
        <v>2608.12</v>
      </c>
      <c r="T57" s="26"/>
      <c r="W57" s="27"/>
    </row>
    <row r="58" customFormat="false" ht="15" hidden="false" customHeight="true" outlineLevel="0" collapsed="false">
      <c r="A58" s="28" t="n">
        <v>8.1</v>
      </c>
      <c r="B58" s="18"/>
      <c r="C58" s="19"/>
      <c r="D58" s="19"/>
      <c r="E58" s="30" t="s">
        <v>156</v>
      </c>
      <c r="F58" s="77" t="s">
        <v>155</v>
      </c>
      <c r="G58" s="30" t="s">
        <v>50</v>
      </c>
      <c r="H58" s="30" t="n">
        <v>42</v>
      </c>
      <c r="I58" s="30" t="s">
        <v>129</v>
      </c>
      <c r="J58" s="30" t="s">
        <v>75</v>
      </c>
      <c r="K58" s="32" t="n">
        <v>931</v>
      </c>
      <c r="L58" s="33" t="n">
        <f aca="false">K58*M58</f>
        <v>13034</v>
      </c>
      <c r="M58" s="30" t="n">
        <v>14</v>
      </c>
      <c r="N58" s="80" t="s">
        <v>32</v>
      </c>
      <c r="O58" s="79" t="s">
        <v>33</v>
      </c>
      <c r="Q58" s="57" t="n">
        <f aca="false">(H58*L58)/1000</f>
        <v>547.428</v>
      </c>
      <c r="R58" s="57" t="n">
        <f aca="false">M58</f>
        <v>14</v>
      </c>
      <c r="S58" s="58"/>
      <c r="T58" s="26"/>
      <c r="W58" s="27"/>
    </row>
    <row r="59" customFormat="false" ht="15" hidden="false" customHeight="true" outlineLevel="0" collapsed="false">
      <c r="A59" s="28" t="n">
        <v>8.1</v>
      </c>
      <c r="B59" s="18"/>
      <c r="C59" s="19"/>
      <c r="D59" s="19"/>
      <c r="E59" s="30" t="s">
        <v>157</v>
      </c>
      <c r="F59" s="77" t="s">
        <v>155</v>
      </c>
      <c r="G59" s="30" t="s">
        <v>50</v>
      </c>
      <c r="H59" s="30" t="n">
        <v>42</v>
      </c>
      <c r="I59" s="30" t="s">
        <v>59</v>
      </c>
      <c r="J59" s="30" t="s">
        <v>40</v>
      </c>
      <c r="K59" s="32" t="n">
        <v>931</v>
      </c>
      <c r="L59" s="33" t="n">
        <f aca="false">K59*M59</f>
        <v>3724</v>
      </c>
      <c r="M59" s="30" t="n">
        <v>4</v>
      </c>
      <c r="N59" s="80" t="s">
        <v>32</v>
      </c>
      <c r="O59" s="79" t="s">
        <v>33</v>
      </c>
      <c r="Q59" s="57" t="n">
        <f aca="false">(H59*L59)/1000</f>
        <v>156.408</v>
      </c>
      <c r="R59" s="57" t="n">
        <f aca="false">M59</f>
        <v>4</v>
      </c>
      <c r="S59" s="58"/>
      <c r="T59" s="26"/>
      <c r="W59" s="27"/>
    </row>
    <row r="60" customFormat="false" ht="15" hidden="false" customHeight="true" outlineLevel="0" collapsed="false">
      <c r="A60" s="28" t="n">
        <v>8.1</v>
      </c>
      <c r="B60" s="18"/>
      <c r="C60" s="19"/>
      <c r="D60" s="19"/>
      <c r="E60" s="30" t="s">
        <v>158</v>
      </c>
      <c r="F60" s="77" t="s">
        <v>155</v>
      </c>
      <c r="G60" s="30" t="s">
        <v>50</v>
      </c>
      <c r="H60" s="30" t="n">
        <v>42</v>
      </c>
      <c r="I60" s="30" t="s">
        <v>39</v>
      </c>
      <c r="J60" s="30" t="s">
        <v>40</v>
      </c>
      <c r="K60" s="32" t="n">
        <v>931</v>
      </c>
      <c r="L60" s="33" t="n">
        <f aca="false">K60*M60</f>
        <v>18620</v>
      </c>
      <c r="M60" s="30" t="n">
        <v>20</v>
      </c>
      <c r="N60" s="80" t="s">
        <v>32</v>
      </c>
      <c r="O60" s="79" t="s">
        <v>33</v>
      </c>
      <c r="Q60" s="57" t="n">
        <f aca="false">(H60*L60)/1000</f>
        <v>782.04</v>
      </c>
      <c r="R60" s="57" t="n">
        <f aca="false">M60</f>
        <v>20</v>
      </c>
      <c r="S60" s="58"/>
      <c r="T60" s="26"/>
      <c r="W60" s="27"/>
    </row>
    <row r="61" customFormat="false" ht="15" hidden="false" customHeight="true" outlineLevel="0" collapsed="false">
      <c r="A61" s="28" t="n">
        <v>8.1</v>
      </c>
      <c r="B61" s="18"/>
      <c r="C61" s="19"/>
      <c r="D61" s="19"/>
      <c r="E61" s="30" t="s">
        <v>158</v>
      </c>
      <c r="F61" s="77" t="s">
        <v>155</v>
      </c>
      <c r="G61" s="30" t="s">
        <v>50</v>
      </c>
      <c r="H61" s="30" t="n">
        <v>42</v>
      </c>
      <c r="I61" s="30" t="s">
        <v>129</v>
      </c>
      <c r="J61" s="30" t="s">
        <v>97</v>
      </c>
      <c r="K61" s="32" t="n">
        <v>931</v>
      </c>
      <c r="L61" s="33" t="n">
        <f aca="false">K61*M61</f>
        <v>18620</v>
      </c>
      <c r="M61" s="30" t="n">
        <v>20</v>
      </c>
      <c r="N61" s="80" t="s">
        <v>32</v>
      </c>
      <c r="O61" s="79" t="s">
        <v>33</v>
      </c>
      <c r="Q61" s="57" t="n">
        <f aca="false">(H61*L61)/1000</f>
        <v>782.04</v>
      </c>
      <c r="R61" s="57" t="n">
        <f aca="false">M61</f>
        <v>20</v>
      </c>
      <c r="S61" s="58"/>
      <c r="T61" s="26"/>
      <c r="W61" s="27"/>
    </row>
    <row r="62" customFormat="false" ht="15" hidden="false" customHeight="true" outlineLevel="0" collapsed="false">
      <c r="A62" s="61" t="n">
        <v>8.2</v>
      </c>
      <c r="B62" s="36" t="s">
        <v>159</v>
      </c>
      <c r="C62" s="37" t="s">
        <v>153</v>
      </c>
      <c r="D62" s="37" t="n">
        <v>2</v>
      </c>
      <c r="E62" s="37" t="s">
        <v>160</v>
      </c>
      <c r="F62" s="81" t="s">
        <v>161</v>
      </c>
      <c r="G62" s="37" t="s">
        <v>162</v>
      </c>
      <c r="H62" s="37" t="n">
        <v>67</v>
      </c>
      <c r="I62" s="37" t="s">
        <v>30</v>
      </c>
      <c r="J62" s="37" t="s">
        <v>31</v>
      </c>
      <c r="K62" s="40" t="n">
        <v>3000</v>
      </c>
      <c r="L62" s="41" t="n">
        <f aca="false">K62*M62</f>
        <v>3000</v>
      </c>
      <c r="M62" s="37" t="n">
        <v>1</v>
      </c>
      <c r="N62" s="82" t="s">
        <v>32</v>
      </c>
      <c r="O62" s="83" t="s">
        <v>33</v>
      </c>
      <c r="Q62" s="57" t="n">
        <f aca="false">(H62*L62)/1000</f>
        <v>201</v>
      </c>
      <c r="R62" s="57" t="n">
        <f aca="false">M62</f>
        <v>1</v>
      </c>
      <c r="S62" s="58"/>
      <c r="T62" s="26"/>
      <c r="W62" s="27"/>
    </row>
    <row r="63" customFormat="false" ht="15" hidden="false" customHeight="true" outlineLevel="0" collapsed="false">
      <c r="A63" s="94" t="n">
        <v>8</v>
      </c>
      <c r="B63" s="95"/>
      <c r="C63" s="96"/>
      <c r="D63" s="96"/>
      <c r="E63" s="96"/>
      <c r="F63" s="97"/>
      <c r="G63" s="96"/>
      <c r="H63" s="96"/>
      <c r="I63" s="96"/>
      <c r="J63" s="96"/>
      <c r="K63" s="98"/>
      <c r="L63" s="98"/>
      <c r="M63" s="96" t="n">
        <f aca="false">SUM(M57:M62)</f>
        <v>61</v>
      </c>
      <c r="N63" s="97"/>
      <c r="O63" s="99"/>
      <c r="P63" s="70" t="str">
        <f aca="false">IFERROR(VLOOKUP(A63,[1]WHouse!$B$4:$G$18,6,0),"")</f>
        <v/>
      </c>
      <c r="Q63" s="71" t="n">
        <f aca="false">SUM(Q57:Q62)</f>
        <v>2547.12</v>
      </c>
      <c r="R63" s="71" t="n">
        <f aca="false">SUM(R57:R62)</f>
        <v>61</v>
      </c>
      <c r="S63" s="72" t="n">
        <f aca="false">SUM(Q63:R63)</f>
        <v>2608.12</v>
      </c>
      <c r="T63" s="73" t="n">
        <f aca="false">S63-(S63*0.04)</f>
        <v>2503.7952</v>
      </c>
      <c r="U63" s="73" t="n">
        <f aca="false">S63+(S63*0.04)</f>
        <v>2712.4448</v>
      </c>
      <c r="V63" s="73" t="n">
        <f aca="false">U63+(0.06*U63)</f>
        <v>2875.191488</v>
      </c>
      <c r="W63" s="74" t="n">
        <f aca="false">U63+(0.1*U63)</f>
        <v>2983.68928</v>
      </c>
    </row>
    <row r="64" customFormat="false" ht="15" hidden="false" customHeight="true" outlineLevel="0" collapsed="false">
      <c r="A64" s="100" t="n">
        <v>9.1</v>
      </c>
      <c r="B64" s="92" t="s">
        <v>163</v>
      </c>
      <c r="C64" s="92" t="s">
        <v>62</v>
      </c>
      <c r="D64" s="92" t="n">
        <v>1</v>
      </c>
      <c r="E64" s="92" t="s">
        <v>164</v>
      </c>
      <c r="F64" s="101" t="s">
        <v>165</v>
      </c>
      <c r="G64" s="92" t="s">
        <v>166</v>
      </c>
      <c r="H64" s="92" t="n">
        <v>348</v>
      </c>
      <c r="I64" s="92" t="s">
        <v>66</v>
      </c>
      <c r="J64" s="92" t="s">
        <v>66</v>
      </c>
      <c r="K64" s="102" t="n">
        <v>2000</v>
      </c>
      <c r="L64" s="102" t="n">
        <f aca="false">K64*M64</f>
        <v>2000</v>
      </c>
      <c r="M64" s="92" t="n">
        <v>1</v>
      </c>
      <c r="N64" s="103" t="s">
        <v>68</v>
      </c>
      <c r="O64" s="104" t="s">
        <v>69</v>
      </c>
      <c r="Q64" s="57" t="n">
        <f aca="false">(H64*L64)/1000</f>
        <v>696</v>
      </c>
      <c r="R64" s="57" t="n">
        <f aca="false">M64</f>
        <v>1</v>
      </c>
      <c r="S64" s="57" t="n">
        <f aca="false">Q64+R64</f>
        <v>697</v>
      </c>
      <c r="T64" s="26"/>
      <c r="W64" s="27"/>
    </row>
    <row r="65" customFormat="false" ht="15" hidden="false" customHeight="true" outlineLevel="0" collapsed="false">
      <c r="A65" s="105" t="n">
        <v>9</v>
      </c>
      <c r="B65" s="106"/>
      <c r="C65" s="106"/>
      <c r="D65" s="106"/>
      <c r="E65" s="106"/>
      <c r="F65" s="107"/>
      <c r="G65" s="106"/>
      <c r="H65" s="106"/>
      <c r="I65" s="106"/>
      <c r="J65" s="106"/>
      <c r="K65" s="108"/>
      <c r="L65" s="108"/>
      <c r="M65" s="106" t="n">
        <f aca="false">SUM(M64)</f>
        <v>1</v>
      </c>
      <c r="N65" s="107"/>
      <c r="O65" s="109"/>
      <c r="P65" s="70" t="str">
        <f aca="false">IFERROR(VLOOKUP(A65,[1]WHouse!$B$4:$G$18,6,0),"")</f>
        <v/>
      </c>
      <c r="Q65" s="71" t="n">
        <f aca="false">SUM(Q64)</f>
        <v>696</v>
      </c>
      <c r="R65" s="71" t="n">
        <f aca="false">SUM(R64)</f>
        <v>1</v>
      </c>
      <c r="S65" s="71" t="n">
        <f aca="false">SUM(Q65:R65)</f>
        <v>697</v>
      </c>
      <c r="T65" s="73" t="n">
        <f aca="false">S65-(S65*0.04)</f>
        <v>669.12</v>
      </c>
      <c r="U65" s="73" t="n">
        <f aca="false">S65+(S65*0.04)</f>
        <v>724.88</v>
      </c>
      <c r="V65" s="73" t="n">
        <f aca="false">U65+(0.06*U65)</f>
        <v>768.3728</v>
      </c>
      <c r="W65" s="74" t="n">
        <f aca="false">U65+(0.1*U65)</f>
        <v>797.368</v>
      </c>
    </row>
    <row r="66" customFormat="false" ht="15" hidden="false" customHeight="true" outlineLevel="0" collapsed="false">
      <c r="A66" s="17" t="n">
        <v>10.1</v>
      </c>
      <c r="B66" s="91" t="s">
        <v>167</v>
      </c>
      <c r="C66" s="92" t="s">
        <v>168</v>
      </c>
      <c r="D66" s="92" t="n">
        <v>1</v>
      </c>
      <c r="E66" s="92" t="s">
        <v>169</v>
      </c>
      <c r="F66" s="88" t="s">
        <v>170</v>
      </c>
      <c r="G66" s="19" t="s">
        <v>171</v>
      </c>
      <c r="H66" s="19" t="n">
        <v>348</v>
      </c>
      <c r="I66" s="19" t="s">
        <v>66</v>
      </c>
      <c r="J66" s="19" t="s">
        <v>66</v>
      </c>
      <c r="K66" s="21" t="n">
        <v>440</v>
      </c>
      <c r="L66" s="21" t="n">
        <f aca="false">K66*M66</f>
        <v>440</v>
      </c>
      <c r="M66" s="19" t="n">
        <v>1</v>
      </c>
      <c r="N66" s="110" t="s">
        <v>68</v>
      </c>
      <c r="O66" s="90" t="s">
        <v>69</v>
      </c>
      <c r="Q66" s="57" t="n">
        <f aca="false">(H66*L66)/1000</f>
        <v>153.12</v>
      </c>
      <c r="R66" s="57" t="n">
        <f aca="false">M66</f>
        <v>1</v>
      </c>
      <c r="S66" s="58" t="n">
        <f aca="false">SUM(Q66:R69)</f>
        <v>463.36</v>
      </c>
      <c r="T66" s="26"/>
      <c r="W66" s="27"/>
    </row>
    <row r="67" customFormat="false" ht="15" hidden="false" customHeight="true" outlineLevel="0" collapsed="false">
      <c r="A67" s="28" t="n">
        <v>10.1</v>
      </c>
      <c r="B67" s="91"/>
      <c r="C67" s="92"/>
      <c r="D67" s="92"/>
      <c r="E67" s="92"/>
      <c r="F67" s="31" t="s">
        <v>172</v>
      </c>
      <c r="G67" s="30" t="s">
        <v>173</v>
      </c>
      <c r="H67" s="30" t="n">
        <v>348</v>
      </c>
      <c r="I67" s="30" t="s">
        <v>66</v>
      </c>
      <c r="J67" s="30" t="s">
        <v>66</v>
      </c>
      <c r="K67" s="32" t="n">
        <v>220</v>
      </c>
      <c r="L67" s="33" t="n">
        <f aca="false">K67*M67</f>
        <v>220</v>
      </c>
      <c r="M67" s="30" t="n">
        <v>1</v>
      </c>
      <c r="N67" s="78" t="s">
        <v>68</v>
      </c>
      <c r="O67" s="79" t="s">
        <v>69</v>
      </c>
      <c r="Q67" s="57" t="n">
        <f aca="false">(H67*L67)/1000</f>
        <v>76.56</v>
      </c>
      <c r="R67" s="57" t="n">
        <f aca="false">M67</f>
        <v>1</v>
      </c>
      <c r="S67" s="58"/>
      <c r="T67" s="26"/>
      <c r="W67" s="27"/>
    </row>
    <row r="68" customFormat="false" ht="15" hidden="false" customHeight="true" outlineLevel="0" collapsed="false">
      <c r="A68" s="28" t="n">
        <v>10.1</v>
      </c>
      <c r="B68" s="91"/>
      <c r="C68" s="92"/>
      <c r="D68" s="92"/>
      <c r="E68" s="92"/>
      <c r="F68" s="77" t="s">
        <v>174</v>
      </c>
      <c r="G68" s="30" t="s">
        <v>175</v>
      </c>
      <c r="H68" s="30" t="n">
        <v>348</v>
      </c>
      <c r="I68" s="30" t="s">
        <v>66</v>
      </c>
      <c r="J68" s="30" t="s">
        <v>66</v>
      </c>
      <c r="K68" s="32" t="n">
        <v>440</v>
      </c>
      <c r="L68" s="33" t="n">
        <f aca="false">K68*M68</f>
        <v>440</v>
      </c>
      <c r="M68" s="30" t="n">
        <v>1</v>
      </c>
      <c r="N68" s="78" t="s">
        <v>68</v>
      </c>
      <c r="O68" s="79" t="s">
        <v>69</v>
      </c>
      <c r="Q68" s="57" t="n">
        <f aca="false">(H68*L68)/1000</f>
        <v>153.12</v>
      </c>
      <c r="R68" s="57" t="n">
        <f aca="false">M68</f>
        <v>1</v>
      </c>
      <c r="S68" s="58"/>
      <c r="T68" s="26"/>
      <c r="W68" s="27"/>
    </row>
    <row r="69" customFormat="false" ht="15" hidden="false" customHeight="true" outlineLevel="0" collapsed="false">
      <c r="A69" s="61" t="n">
        <v>10.1</v>
      </c>
      <c r="B69" s="91"/>
      <c r="C69" s="92"/>
      <c r="D69" s="92"/>
      <c r="E69" s="92"/>
      <c r="F69" s="81" t="s">
        <v>176</v>
      </c>
      <c r="G69" s="37" t="s">
        <v>177</v>
      </c>
      <c r="H69" s="37" t="n">
        <v>348</v>
      </c>
      <c r="I69" s="37" t="s">
        <v>66</v>
      </c>
      <c r="J69" s="37" t="s">
        <v>66</v>
      </c>
      <c r="K69" s="40" t="n">
        <v>220</v>
      </c>
      <c r="L69" s="41" t="n">
        <f aca="false">K69*M69</f>
        <v>220</v>
      </c>
      <c r="M69" s="37" t="n">
        <v>1</v>
      </c>
      <c r="N69" s="111" t="s">
        <v>68</v>
      </c>
      <c r="O69" s="83" t="s">
        <v>69</v>
      </c>
      <c r="Q69" s="57" t="n">
        <f aca="false">(H69*L69)/1000</f>
        <v>76.56</v>
      </c>
      <c r="R69" s="57" t="n">
        <f aca="false">M69</f>
        <v>1</v>
      </c>
      <c r="S69" s="58"/>
      <c r="T69" s="26"/>
      <c r="W69" s="27"/>
    </row>
    <row r="70" customFormat="false" ht="15" hidden="false" customHeight="true" outlineLevel="0" collapsed="false">
      <c r="A70" s="94" t="n">
        <v>10</v>
      </c>
      <c r="B70" s="95"/>
      <c r="C70" s="96"/>
      <c r="D70" s="96"/>
      <c r="E70" s="96"/>
      <c r="F70" s="97"/>
      <c r="G70" s="96"/>
      <c r="H70" s="96"/>
      <c r="I70" s="96"/>
      <c r="J70" s="96"/>
      <c r="K70" s="98"/>
      <c r="L70" s="98"/>
      <c r="M70" s="96" t="n">
        <f aca="false">SUM(M66:M69)</f>
        <v>4</v>
      </c>
      <c r="N70" s="97"/>
      <c r="O70" s="99"/>
      <c r="P70" s="70" t="str">
        <f aca="false">IFERROR(VLOOKUP(A70,[1]WHouse!$B$4:$G$18,6,0),"")</f>
        <v/>
      </c>
      <c r="Q70" s="71" t="n">
        <f aca="false">SUM(Q66:Q69)</f>
        <v>459.36</v>
      </c>
      <c r="R70" s="71" t="n">
        <f aca="false">SUM(R66:R69)</f>
        <v>4</v>
      </c>
      <c r="S70" s="72" t="n">
        <f aca="false">SUM(Q70:R70)</f>
        <v>463.36</v>
      </c>
      <c r="T70" s="73" t="n">
        <f aca="false">S70-(S70*0.04)</f>
        <v>444.8256</v>
      </c>
      <c r="U70" s="73" t="n">
        <f aca="false">S70+(S70*0.04)</f>
        <v>481.8944</v>
      </c>
      <c r="V70" s="73" t="n">
        <f aca="false">U70+(0.06*U70)</f>
        <v>510.808064</v>
      </c>
      <c r="W70" s="74" t="n">
        <f aca="false">U70+(0.1*U70)</f>
        <v>530.08384</v>
      </c>
    </row>
    <row r="71" customFormat="false" ht="15" hidden="false" customHeight="true" outlineLevel="0" collapsed="false">
      <c r="A71" s="100" t="n">
        <v>11</v>
      </c>
      <c r="B71" s="92" t="s">
        <v>178</v>
      </c>
      <c r="C71" s="92" t="s">
        <v>179</v>
      </c>
      <c r="D71" s="92" t="n">
        <v>1</v>
      </c>
      <c r="E71" s="92" t="s">
        <v>180</v>
      </c>
      <c r="F71" s="101" t="s">
        <v>181</v>
      </c>
      <c r="G71" s="92" t="s">
        <v>182</v>
      </c>
      <c r="H71" s="92" t="n">
        <v>348</v>
      </c>
      <c r="I71" s="92" t="s">
        <v>66</v>
      </c>
      <c r="J71" s="92" t="s">
        <v>66</v>
      </c>
      <c r="K71" s="102" t="n">
        <v>5000</v>
      </c>
      <c r="L71" s="102" t="n">
        <f aca="false">K71*M71</f>
        <v>5000</v>
      </c>
      <c r="M71" s="92" t="n">
        <v>1</v>
      </c>
      <c r="N71" s="103" t="s">
        <v>68</v>
      </c>
      <c r="O71" s="104" t="s">
        <v>69</v>
      </c>
      <c r="Q71" s="57" t="n">
        <f aca="false">(H71*L71)/1000</f>
        <v>1740</v>
      </c>
      <c r="R71" s="57" t="n">
        <f aca="false">M71</f>
        <v>1</v>
      </c>
      <c r="S71" s="57" t="n">
        <f aca="false">Q71</f>
        <v>1740</v>
      </c>
      <c r="T71" s="26"/>
      <c r="W71" s="27"/>
    </row>
    <row r="72" customFormat="false" ht="15" hidden="false" customHeight="true" outlineLevel="0" collapsed="false">
      <c r="A72" s="100" t="n">
        <v>12</v>
      </c>
      <c r="B72" s="92" t="s">
        <v>178</v>
      </c>
      <c r="C72" s="92" t="s">
        <v>62</v>
      </c>
      <c r="D72" s="92" t="n">
        <v>1</v>
      </c>
      <c r="E72" s="19" t="s">
        <v>183</v>
      </c>
      <c r="F72" s="20" t="s">
        <v>184</v>
      </c>
      <c r="G72" s="19" t="s">
        <v>185</v>
      </c>
      <c r="H72" s="19" t="n">
        <v>348</v>
      </c>
      <c r="I72" s="19" t="s">
        <v>66</v>
      </c>
      <c r="J72" s="19" t="s">
        <v>66</v>
      </c>
      <c r="K72" s="21" t="n">
        <v>3000</v>
      </c>
      <c r="L72" s="21" t="n">
        <f aca="false">K72*M72</f>
        <v>3000</v>
      </c>
      <c r="M72" s="19" t="n">
        <v>1</v>
      </c>
      <c r="N72" s="110" t="s">
        <v>68</v>
      </c>
      <c r="O72" s="90" t="s">
        <v>69</v>
      </c>
      <c r="Q72" s="57" t="n">
        <f aca="false">(H72*L72)/1000</f>
        <v>1044</v>
      </c>
      <c r="R72" s="57" t="n">
        <f aca="false">M72</f>
        <v>1</v>
      </c>
      <c r="S72" s="58" t="n">
        <f aca="false">SUM(Q72:Q73)</f>
        <v>2088</v>
      </c>
      <c r="T72" s="26"/>
      <c r="W72" s="27"/>
    </row>
    <row r="73" customFormat="false" ht="15" hidden="false" customHeight="true" outlineLevel="0" collapsed="false">
      <c r="A73" s="100"/>
      <c r="B73" s="92"/>
      <c r="C73" s="92"/>
      <c r="D73" s="92"/>
      <c r="E73" s="37" t="n">
        <v>2000062701</v>
      </c>
      <c r="F73" s="81" t="s">
        <v>186</v>
      </c>
      <c r="G73" s="37" t="s">
        <v>187</v>
      </c>
      <c r="H73" s="37" t="n">
        <v>348</v>
      </c>
      <c r="I73" s="37" t="s">
        <v>66</v>
      </c>
      <c r="J73" s="37" t="s">
        <v>66</v>
      </c>
      <c r="K73" s="40" t="n">
        <v>3000</v>
      </c>
      <c r="L73" s="41" t="n">
        <f aca="false">K73*M73</f>
        <v>3000</v>
      </c>
      <c r="M73" s="37" t="n">
        <v>1</v>
      </c>
      <c r="N73" s="111" t="s">
        <v>68</v>
      </c>
      <c r="O73" s="83" t="s">
        <v>69</v>
      </c>
      <c r="Q73" s="57" t="n">
        <f aca="false">(H73*L73)/1000</f>
        <v>1044</v>
      </c>
      <c r="R73" s="57" t="n">
        <f aca="false">M73</f>
        <v>1</v>
      </c>
      <c r="S73" s="58"/>
      <c r="T73" s="112"/>
      <c r="U73" s="113"/>
      <c r="V73" s="113"/>
      <c r="W73" s="114"/>
    </row>
    <row r="74" customFormat="false" ht="15" hidden="false" customHeight="true" outlineLevel="0" collapsed="false">
      <c r="A74" s="115" t="s">
        <v>188</v>
      </c>
      <c r="B74" s="115"/>
      <c r="C74" s="115"/>
      <c r="D74" s="115"/>
      <c r="E74" s="115"/>
      <c r="F74" s="115"/>
      <c r="G74" s="115"/>
      <c r="H74" s="115"/>
      <c r="I74" s="115"/>
      <c r="J74" s="115"/>
      <c r="K74" s="116"/>
      <c r="L74" s="117" t="n">
        <f aca="false">SUM(L5:L73)</f>
        <v>479140</v>
      </c>
      <c r="M74" s="116" t="n">
        <f aca="false">SUM(M5:M73)</f>
        <v>1081</v>
      </c>
      <c r="N74" s="118"/>
      <c r="O74" s="118"/>
    </row>
  </sheetData>
  <mergeCells count="75"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U3"/>
    <mergeCell ref="V3:V4"/>
    <mergeCell ref="W3:W4"/>
    <mergeCell ref="S5:S11"/>
    <mergeCell ref="B7:B11"/>
    <mergeCell ref="C7:C11"/>
    <mergeCell ref="D7:D11"/>
    <mergeCell ref="B13:B14"/>
    <mergeCell ref="C13:C14"/>
    <mergeCell ref="D13:D14"/>
    <mergeCell ref="S13:S18"/>
    <mergeCell ref="B15:B18"/>
    <mergeCell ref="C15:C18"/>
    <mergeCell ref="D15:D18"/>
    <mergeCell ref="S20:S25"/>
    <mergeCell ref="B21:B25"/>
    <mergeCell ref="C21:C25"/>
    <mergeCell ref="D21:D25"/>
    <mergeCell ref="B27:B35"/>
    <mergeCell ref="C27:C35"/>
    <mergeCell ref="D27:D35"/>
    <mergeCell ref="S27:S37"/>
    <mergeCell ref="B36:B37"/>
    <mergeCell ref="C36:C37"/>
    <mergeCell ref="D36:D37"/>
    <mergeCell ref="B39:B43"/>
    <mergeCell ref="C39:C43"/>
    <mergeCell ref="D39:D43"/>
    <mergeCell ref="S39:S46"/>
    <mergeCell ref="B44:B45"/>
    <mergeCell ref="C44:C45"/>
    <mergeCell ref="D44:D45"/>
    <mergeCell ref="B48:B49"/>
    <mergeCell ref="C48:C49"/>
    <mergeCell ref="D48:D49"/>
    <mergeCell ref="S48:S49"/>
    <mergeCell ref="S51:S55"/>
    <mergeCell ref="B52:B55"/>
    <mergeCell ref="C52:C55"/>
    <mergeCell ref="D52:D55"/>
    <mergeCell ref="B57:B61"/>
    <mergeCell ref="C57:C61"/>
    <mergeCell ref="D57:D61"/>
    <mergeCell ref="S57:S62"/>
    <mergeCell ref="B66:B69"/>
    <mergeCell ref="C66:C69"/>
    <mergeCell ref="D66:D69"/>
    <mergeCell ref="E66:E69"/>
    <mergeCell ref="S66:S69"/>
    <mergeCell ref="A72:A73"/>
    <mergeCell ref="B72:B73"/>
    <mergeCell ref="C72:C73"/>
    <mergeCell ref="D72:D73"/>
    <mergeCell ref="S72:S73"/>
    <mergeCell ref="A74:J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93fd1cce-d1bd-42e0-9dbf-c622a6083db3}" enabled="0" method="" siteId="{93fd1cce-d1bd-42e0-9dbf-c622a6083db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2025-07-01T04:51:41Z</dcterms:created>
  <dc:creator>Ali Sabar</dc:creator>
  <dc:description/>
  <dc:language>en-US</dc:language>
  <cp:lastModifiedBy/>
  <dcterms:modified xsi:type="dcterms:W3CDTF">2026-06-08T12:48:15Z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