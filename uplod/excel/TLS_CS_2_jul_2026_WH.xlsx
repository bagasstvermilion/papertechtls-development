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S\Daily CS Report\0. TLS\"/>
    </mc:Choice>
  </mc:AlternateContent>
  <xr:revisionPtr revIDLastSave="0" documentId="13_ncr:1_{888F74D3-55BA-44ED-98B7-E09988E31F2E}" xr6:coauthVersionLast="47" xr6:coauthVersionMax="47" xr10:uidLastSave="{00000000-0000-0000-0000-000000000000}"/>
  <bookViews>
    <workbookView xWindow="-110" yWindow="-110" windowWidth="19420" windowHeight="10300" xr2:uid="{30425693-2BF5-4FFE-86F9-B23364783311}"/>
  </bookViews>
  <sheets>
    <sheet name="CS Form" sheetId="2" r:id="rId1"/>
  </sheets>
  <externalReferences>
    <externalReference r:id="rId2"/>
  </externalReferences>
  <definedNames>
    <definedName name="_xlnm._FilterDatabase" localSheetId="0" hidden="1">'CS Form'!$A$5:$AA$98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94" i="2" l="1"/>
  <c r="K94" i="2"/>
  <c r="P93" i="2"/>
  <c r="J93" i="2"/>
  <c r="O93" i="2" s="1"/>
  <c r="P92" i="2"/>
  <c r="P94" i="2" s="1"/>
  <c r="J92" i="2"/>
  <c r="O92" i="2" s="1"/>
  <c r="P91" i="2"/>
  <c r="J91" i="2"/>
  <c r="O91" i="2" s="1"/>
  <c r="P90" i="2"/>
  <c r="J90" i="2"/>
  <c r="O90" i="2" s="1"/>
  <c r="O94" i="2" s="1"/>
  <c r="Q94" i="2" s="1"/>
  <c r="R94" i="2" l="1"/>
  <c r="T94" i="2" s="1"/>
  <c r="S94" i="2"/>
  <c r="K89" i="2"/>
  <c r="N89" i="2"/>
  <c r="K80" i="2"/>
  <c r="N80" i="2"/>
  <c r="K69" i="2"/>
  <c r="N69" i="2"/>
  <c r="K64" i="2"/>
  <c r="N64" i="2"/>
  <c r="K53" i="2"/>
  <c r="N53" i="2"/>
  <c r="K47" i="2"/>
  <c r="N47" i="2"/>
  <c r="K37" i="2"/>
  <c r="N37" i="2"/>
  <c r="K29" i="2"/>
  <c r="N29" i="2"/>
  <c r="N23" i="2"/>
  <c r="K23" i="2"/>
  <c r="K18" i="2"/>
  <c r="N18" i="2"/>
  <c r="N13" i="2"/>
  <c r="K13" i="2"/>
  <c r="V94" i="2" l="1"/>
  <c r="U94" i="2"/>
  <c r="P98" i="2"/>
  <c r="O98" i="2"/>
  <c r="P97" i="2"/>
  <c r="O97" i="2"/>
  <c r="P96" i="2"/>
  <c r="O96" i="2"/>
  <c r="P95" i="2"/>
  <c r="O95" i="2"/>
  <c r="P36" i="2"/>
  <c r="O36" i="2"/>
  <c r="P35" i="2"/>
  <c r="O35" i="2"/>
  <c r="P34" i="2"/>
  <c r="O34" i="2"/>
  <c r="P33" i="2"/>
  <c r="O33" i="2"/>
  <c r="P32" i="2"/>
  <c r="O32" i="2"/>
  <c r="P79" i="2"/>
  <c r="O79" i="2"/>
  <c r="P31" i="2"/>
  <c r="O31" i="2"/>
  <c r="P46" i="2"/>
  <c r="O46" i="2"/>
  <c r="P45" i="2"/>
  <c r="O45" i="2"/>
  <c r="P44" i="2"/>
  <c r="O44" i="2"/>
  <c r="P78" i="2"/>
  <c r="O78" i="2"/>
  <c r="P77" i="2"/>
  <c r="O77" i="2"/>
  <c r="P28" i="2"/>
  <c r="J28" i="2"/>
  <c r="O28" i="2" s="1"/>
  <c r="P27" i="2"/>
  <c r="J27" i="2"/>
  <c r="O27" i="2" s="1"/>
  <c r="P76" i="2"/>
  <c r="J76" i="2"/>
  <c r="O76" i="2" s="1"/>
  <c r="P75" i="2"/>
  <c r="J75" i="2"/>
  <c r="O75" i="2" s="1"/>
  <c r="P74" i="2"/>
  <c r="J74" i="2"/>
  <c r="O74" i="2" s="1"/>
  <c r="P73" i="2"/>
  <c r="J73" i="2"/>
  <c r="O73" i="2" s="1"/>
  <c r="P72" i="2"/>
  <c r="J72" i="2"/>
  <c r="O72" i="2" s="1"/>
  <c r="P71" i="2"/>
  <c r="J71" i="2"/>
  <c r="O71" i="2" s="1"/>
  <c r="P70" i="2"/>
  <c r="J70" i="2"/>
  <c r="O70" i="2" s="1"/>
  <c r="P12" i="2"/>
  <c r="O12" i="2"/>
  <c r="P26" i="2"/>
  <c r="J26" i="2"/>
  <c r="O26" i="2" s="1"/>
  <c r="P52" i="2"/>
  <c r="J52" i="2"/>
  <c r="O52" i="2" s="1"/>
  <c r="P51" i="2"/>
  <c r="J51" i="2"/>
  <c r="O51" i="2" s="1"/>
  <c r="P50" i="2"/>
  <c r="J50" i="2"/>
  <c r="O50" i="2" s="1"/>
  <c r="P49" i="2"/>
  <c r="J49" i="2"/>
  <c r="O49" i="2" s="1"/>
  <c r="P48" i="2"/>
  <c r="J48" i="2"/>
  <c r="O48" i="2" s="1"/>
  <c r="P25" i="2"/>
  <c r="J25" i="2"/>
  <c r="O25" i="2" s="1"/>
  <c r="P11" i="2"/>
  <c r="J11" i="2"/>
  <c r="O11" i="2" s="1"/>
  <c r="P24" i="2"/>
  <c r="J24" i="2"/>
  <c r="O24" i="2" s="1"/>
  <c r="P10" i="2"/>
  <c r="J10" i="2"/>
  <c r="O10" i="2" s="1"/>
  <c r="P9" i="2"/>
  <c r="J9" i="2"/>
  <c r="O9" i="2" s="1"/>
  <c r="P8" i="2"/>
  <c r="J8" i="2"/>
  <c r="O8" i="2" s="1"/>
  <c r="P7" i="2"/>
  <c r="J7" i="2"/>
  <c r="O7" i="2" s="1"/>
  <c r="P22" i="2"/>
  <c r="J22" i="2"/>
  <c r="O22" i="2" s="1"/>
  <c r="P63" i="2"/>
  <c r="J63" i="2"/>
  <c r="O63" i="2" s="1"/>
  <c r="P21" i="2"/>
  <c r="J21" i="2"/>
  <c r="O21" i="2" s="1"/>
  <c r="P20" i="2"/>
  <c r="J20" i="2"/>
  <c r="O20" i="2" s="1"/>
  <c r="P62" i="2"/>
  <c r="J62" i="2"/>
  <c r="O62" i="2" s="1"/>
  <c r="P61" i="2"/>
  <c r="J61" i="2"/>
  <c r="O61" i="2" s="1"/>
  <c r="P60" i="2"/>
  <c r="J60" i="2"/>
  <c r="O60" i="2" s="1"/>
  <c r="P59" i="2"/>
  <c r="J59" i="2"/>
  <c r="O59" i="2" s="1"/>
  <c r="P58" i="2"/>
  <c r="J58" i="2"/>
  <c r="O58" i="2" s="1"/>
  <c r="P57" i="2"/>
  <c r="J57" i="2"/>
  <c r="O57" i="2" s="1"/>
  <c r="P56" i="2"/>
  <c r="J56" i="2"/>
  <c r="O56" i="2" s="1"/>
  <c r="P55" i="2"/>
  <c r="J55" i="2"/>
  <c r="O55" i="2" s="1"/>
  <c r="P54" i="2"/>
  <c r="J54" i="2"/>
  <c r="O54" i="2" s="1"/>
  <c r="P19" i="2"/>
  <c r="J19" i="2"/>
  <c r="O19" i="2" s="1"/>
  <c r="P17" i="2"/>
  <c r="J17" i="2"/>
  <c r="O17" i="2" s="1"/>
  <c r="P16" i="2"/>
  <c r="J16" i="2"/>
  <c r="O16" i="2" s="1"/>
  <c r="P15" i="2"/>
  <c r="J15" i="2"/>
  <c r="O15" i="2" s="1"/>
  <c r="P14" i="2"/>
  <c r="J14" i="2"/>
  <c r="O14" i="2" s="1"/>
  <c r="P6" i="2"/>
  <c r="J6" i="2"/>
  <c r="O6" i="2" s="1"/>
  <c r="P30" i="2"/>
  <c r="J30" i="2"/>
  <c r="O30" i="2" s="1"/>
  <c r="P88" i="2"/>
  <c r="J88" i="2"/>
  <c r="O88" i="2" s="1"/>
  <c r="P68" i="2"/>
  <c r="J68" i="2"/>
  <c r="O68" i="2" s="1"/>
  <c r="P67" i="2"/>
  <c r="J67" i="2"/>
  <c r="O67" i="2" s="1"/>
  <c r="P43" i="2"/>
  <c r="J43" i="2"/>
  <c r="O43" i="2" s="1"/>
  <c r="P42" i="2"/>
  <c r="J42" i="2"/>
  <c r="O42" i="2" s="1"/>
  <c r="P41" i="2"/>
  <c r="J41" i="2"/>
  <c r="O41" i="2" s="1"/>
  <c r="P40" i="2"/>
  <c r="J40" i="2"/>
  <c r="O40" i="2" s="1"/>
  <c r="P39" i="2"/>
  <c r="J39" i="2"/>
  <c r="O39" i="2" s="1"/>
  <c r="P38" i="2"/>
  <c r="J38" i="2"/>
  <c r="O38" i="2" s="1"/>
  <c r="P66" i="2"/>
  <c r="J66" i="2"/>
  <c r="O66" i="2" s="1"/>
  <c r="P65" i="2"/>
  <c r="P69" i="2" s="1"/>
  <c r="J65" i="2"/>
  <c r="O65" i="2" s="1"/>
  <c r="P87" i="2"/>
  <c r="J87" i="2"/>
  <c r="O87" i="2" s="1"/>
  <c r="P86" i="2"/>
  <c r="J86" i="2"/>
  <c r="O86" i="2" s="1"/>
  <c r="P85" i="2"/>
  <c r="J85" i="2"/>
  <c r="O85" i="2" s="1"/>
  <c r="P84" i="2"/>
  <c r="J84" i="2"/>
  <c r="O84" i="2" s="1"/>
  <c r="P83" i="2"/>
  <c r="J83" i="2"/>
  <c r="O83" i="2" s="1"/>
  <c r="P82" i="2"/>
  <c r="J82" i="2"/>
  <c r="O82" i="2" s="1"/>
  <c r="P81" i="2"/>
  <c r="J81" i="2"/>
  <c r="O81" i="2" s="1"/>
  <c r="P47" i="2" l="1"/>
  <c r="O69" i="2"/>
  <c r="O47" i="2"/>
  <c r="P64" i="2"/>
  <c r="O64" i="2"/>
  <c r="O18" i="2"/>
  <c r="P18" i="2"/>
  <c r="O89" i="2"/>
  <c r="P89" i="2"/>
  <c r="P80" i="2"/>
  <c r="O80" i="2"/>
  <c r="Q80" i="2" s="1"/>
  <c r="P53" i="2"/>
  <c r="O53" i="2"/>
  <c r="P29" i="2"/>
  <c r="O37" i="2"/>
  <c r="Q47" i="2"/>
  <c r="P37" i="2"/>
  <c r="O29" i="2"/>
  <c r="O23" i="2"/>
  <c r="P23" i="2"/>
  <c r="O13" i="2"/>
  <c r="P13" i="2"/>
  <c r="Q29" i="2" l="1"/>
  <c r="Q37" i="2"/>
  <c r="Q13" i="2"/>
  <c r="S13" i="2" s="1"/>
  <c r="Q89" i="2"/>
  <c r="S80" i="2"/>
  <c r="R80" i="2"/>
  <c r="T80" i="2" s="1"/>
  <c r="Q69" i="2"/>
  <c r="Q64" i="2"/>
  <c r="Q53" i="2"/>
  <c r="S47" i="2"/>
  <c r="R47" i="2"/>
  <c r="T47" i="2" s="1"/>
  <c r="S37" i="2"/>
  <c r="R37" i="2"/>
  <c r="T37" i="2" s="1"/>
  <c r="S29" i="2"/>
  <c r="R29" i="2"/>
  <c r="T29" i="2" s="1"/>
  <c r="Q23" i="2"/>
  <c r="Q18" i="2"/>
  <c r="R13" i="2" l="1"/>
  <c r="T13" i="2" s="1"/>
  <c r="S89" i="2"/>
  <c r="R89" i="2"/>
  <c r="T89" i="2" s="1"/>
  <c r="V80" i="2"/>
  <c r="U80" i="2"/>
  <c r="R69" i="2"/>
  <c r="T69" i="2" s="1"/>
  <c r="S69" i="2"/>
  <c r="S64" i="2"/>
  <c r="R64" i="2"/>
  <c r="T64" i="2" s="1"/>
  <c r="S53" i="2"/>
  <c r="R53" i="2"/>
  <c r="T53" i="2" s="1"/>
  <c r="V47" i="2"/>
  <c r="U47" i="2"/>
  <c r="V37" i="2"/>
  <c r="U37" i="2"/>
  <c r="V29" i="2"/>
  <c r="U29" i="2"/>
  <c r="S23" i="2"/>
  <c r="R23" i="2"/>
  <c r="T23" i="2" s="1"/>
  <c r="R18" i="2"/>
  <c r="T18" i="2" s="1"/>
  <c r="S18" i="2"/>
  <c r="V13" i="2"/>
  <c r="U13" i="2"/>
  <c r="V89" i="2" l="1"/>
  <c r="U89" i="2"/>
  <c r="V69" i="2"/>
  <c r="U69" i="2"/>
  <c r="V64" i="2"/>
  <c r="U64" i="2"/>
  <c r="V53" i="2"/>
  <c r="U53" i="2"/>
  <c r="V23" i="2"/>
  <c r="U23" i="2"/>
  <c r="V18" i="2"/>
  <c r="U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Sabar</author>
  </authors>
  <commentList>
    <comment ref="A3" authorId="0" shapeId="0" xr:uid="{FF3A5B43-6203-46F3-B443-6E873C18CC1E}">
      <text>
        <r>
          <rPr>
            <b/>
            <sz val="9"/>
            <color indexed="81"/>
            <rFont val="Tahoma"/>
            <family val="2"/>
          </rPr>
          <t>format :
tgl-bln-th
03-07-2026
perhatikan urutan dan formatnya harus sama</t>
        </r>
      </text>
    </comment>
    <comment ref="A4" authorId="0" shapeId="0" xr:uid="{7F09573E-9FB2-4FA0-A933-6C4BAB604FDD}">
      <text>
        <r>
          <rPr>
            <b/>
            <sz val="9"/>
            <color indexed="81"/>
            <rFont val="Tahoma"/>
            <family val="2"/>
          </rPr>
          <t>untuk kolom A, isi urutan dengan format sbb :
1.1
1.2
1.3
sesuai dengan customer masing2 / customer yang berbeda</t>
        </r>
      </text>
    </comment>
  </commentList>
</comments>
</file>

<file path=xl/sharedStrings.xml><?xml version="1.0" encoding="utf-8"?>
<sst xmlns="http://schemas.openxmlformats.org/spreadsheetml/2006/main" count="607" uniqueCount="139">
  <si>
    <t>di lock</t>
  </si>
  <si>
    <t>Kedatangan Truck</t>
  </si>
  <si>
    <t>Nama Customer</t>
  </si>
  <si>
    <t xml:space="preserve">Region </t>
  </si>
  <si>
    <t>Urutan Bongkar</t>
  </si>
  <si>
    <t>Item Desc</t>
  </si>
  <si>
    <t>Color</t>
  </si>
  <si>
    <t>Pattern Nose</t>
  </si>
  <si>
    <t>Qty/(Box/pallet)</t>
  </si>
  <si>
    <t>Qty/Pcs</t>
  </si>
  <si>
    <t>Qty Box / pallet</t>
  </si>
  <si>
    <t>Status</t>
  </si>
  <si>
    <t>Waktu Muat</t>
  </si>
  <si>
    <t>BERAT TOTAL (Kg)</t>
  </si>
  <si>
    <t>BERAT box (Kg)</t>
  </si>
  <si>
    <t>BERAT ISI TRUCK</t>
  </si>
  <si>
    <t>NORMAL</t>
  </si>
  <si>
    <t>TOLERANSI</t>
  </si>
  <si>
    <t>WARNING</t>
  </si>
  <si>
    <t>type</t>
  </si>
  <si>
    <t>weight</t>
  </si>
  <si>
    <t>Min</t>
  </si>
  <si>
    <t>Max</t>
  </si>
  <si>
    <t>ELEGANT TEXTILE INDUSTRY, PT.</t>
  </si>
  <si>
    <t>Cone 3'30</t>
  </si>
  <si>
    <t>Red</t>
  </si>
  <si>
    <t>Dot</t>
  </si>
  <si>
    <t>On process</t>
  </si>
  <si>
    <t xml:space="preserve">Muat pagi </t>
  </si>
  <si>
    <t>Green</t>
  </si>
  <si>
    <t>Penguins</t>
  </si>
  <si>
    <t>Black</t>
  </si>
  <si>
    <t>Star</t>
  </si>
  <si>
    <t>Stock Ready</t>
  </si>
  <si>
    <t>Grey</t>
  </si>
  <si>
    <t>Solid</t>
  </si>
  <si>
    <t>Cone 3'30 jumbo</t>
  </si>
  <si>
    <t>Lime</t>
  </si>
  <si>
    <t>Cone 4'20 mvs</t>
  </si>
  <si>
    <t>Purple</t>
  </si>
  <si>
    <t>Beta</t>
  </si>
  <si>
    <t>Violet</t>
  </si>
  <si>
    <t>Cat</t>
  </si>
  <si>
    <t>FAMATEX, PT.</t>
  </si>
  <si>
    <t>Cone 5'32</t>
  </si>
  <si>
    <t>Yellow</t>
  </si>
  <si>
    <t>Light Lavender</t>
  </si>
  <si>
    <t>GOKAK INDONESIA, PT.</t>
  </si>
  <si>
    <t>Cone 5'57</t>
  </si>
  <si>
    <t>Clubs</t>
  </si>
  <si>
    <t>Muat Gantung</t>
  </si>
  <si>
    <t xml:space="preserve">No color </t>
  </si>
  <si>
    <t>No pattern</t>
  </si>
  <si>
    <t>Diamond</t>
  </si>
  <si>
    <t>Blue</t>
  </si>
  <si>
    <t>Slash</t>
  </si>
  <si>
    <t>Circle</t>
  </si>
  <si>
    <t>INDO-RAMA SYNTHETICS TBK, PT. (IRT)</t>
  </si>
  <si>
    <t>Cone 4'20</t>
  </si>
  <si>
    <t>Horison</t>
  </si>
  <si>
    <t>Tube</t>
  </si>
  <si>
    <t>Halfmoon</t>
  </si>
  <si>
    <t>INDO LIBERTY TEXTILES, PT.</t>
  </si>
  <si>
    <t>Orange</t>
  </si>
  <si>
    <t xml:space="preserve">Vertical </t>
  </si>
  <si>
    <t xml:space="preserve">Horison </t>
  </si>
  <si>
    <t>AT</t>
  </si>
  <si>
    <t>Arrow</t>
  </si>
  <si>
    <t>Checkboard</t>
  </si>
  <si>
    <t>Pluses</t>
  </si>
  <si>
    <t>Tick</t>
  </si>
  <si>
    <t>Question</t>
  </si>
  <si>
    <t>Heart</t>
  </si>
  <si>
    <t>KEWALRAM INDONESIA, PT. (1)</t>
  </si>
  <si>
    <t>Tip solid</t>
  </si>
  <si>
    <t>KEWALRAM INDONESIA, PT. (2)</t>
  </si>
  <si>
    <t>MALAKASARI, PT.</t>
  </si>
  <si>
    <t>PT. SINAR PANGJAYA MULIA</t>
  </si>
  <si>
    <t>Ocean green</t>
  </si>
  <si>
    <t>SUNRISE BUMI TEXTILES, PT.</t>
  </si>
  <si>
    <t>Cactus</t>
  </si>
  <si>
    <t>Brown</t>
  </si>
  <si>
    <t>Unlimited</t>
  </si>
  <si>
    <t>Pink</t>
  </si>
  <si>
    <t>YUNIKO ASIA PRIMA, PT.</t>
  </si>
  <si>
    <t>PInk</t>
  </si>
  <si>
    <t>CV. SURYA DJAYA ABADI</t>
  </si>
  <si>
    <t>40 X 40 X 2</t>
  </si>
  <si>
    <t>Kirim ke kantor Baru SDA</t>
  </si>
  <si>
    <t>50 X 50 X 4</t>
  </si>
  <si>
    <t>CV. SINAR KARTON</t>
  </si>
  <si>
    <t>40 X 40 X 4</t>
  </si>
  <si>
    <t>Nambo, Kec. Klapanunggal., Kab. Bogor</t>
  </si>
  <si>
    <t>SINERGI ANDALAN MADANI</t>
  </si>
  <si>
    <t>70 X 70 X 5</t>
  </si>
  <si>
    <t>Kawasan Industri Jababeka II</t>
  </si>
  <si>
    <t>50 X 50 X 5</t>
  </si>
  <si>
    <t>Lemah Abang</t>
  </si>
  <si>
    <t>PT. AKIHIRO KATSUMI INDONESIA</t>
  </si>
  <si>
    <t>40 X 40 X 3.3</t>
  </si>
  <si>
    <t>PT. PURA BARUTAMA</t>
  </si>
  <si>
    <t>50 X 50 X 3</t>
  </si>
  <si>
    <t>kirim ke bekasi</t>
  </si>
  <si>
    <t>BERKAH CAHAYA ABADI CV</t>
  </si>
  <si>
    <t>30 X 30 X 3</t>
  </si>
  <si>
    <t>100 X 3</t>
  </si>
  <si>
    <t>Purwakarta</t>
  </si>
  <si>
    <t>Bandung</t>
  </si>
  <si>
    <t>Bogor</t>
  </si>
  <si>
    <t>Karawang</t>
  </si>
  <si>
    <t>Bekasi</t>
  </si>
  <si>
    <t>03-07-2026</t>
  </si>
  <si>
    <t>1.1</t>
  </si>
  <si>
    <t>1.2</t>
  </si>
  <si>
    <t>1.3</t>
  </si>
  <si>
    <t>2.1</t>
  </si>
  <si>
    <t>3.1</t>
  </si>
  <si>
    <t>4.1</t>
  </si>
  <si>
    <t>4.3</t>
  </si>
  <si>
    <t>4.2</t>
  </si>
  <si>
    <t>5.1</t>
  </si>
  <si>
    <t>5.2</t>
  </si>
  <si>
    <t>5.3</t>
  </si>
  <si>
    <t>6.1</t>
  </si>
  <si>
    <t>6.2</t>
  </si>
  <si>
    <t>6.3</t>
  </si>
  <si>
    <t>7.1</t>
  </si>
  <si>
    <t>8.1</t>
  </si>
  <si>
    <t>9.1</t>
  </si>
  <si>
    <t>9.2</t>
  </si>
  <si>
    <t>10.1</t>
  </si>
  <si>
    <t>10.2</t>
  </si>
  <si>
    <t>10.3</t>
  </si>
  <si>
    <t>11.1</t>
  </si>
  <si>
    <t>11.2</t>
  </si>
  <si>
    <t>Adetex</t>
  </si>
  <si>
    <t>brown</t>
  </si>
  <si>
    <t>12.1</t>
  </si>
  <si>
    <t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</si>
</sst>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8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1" applyFont="1" applyAlignment="1">
      <alignment horizontal="center"/>
    </xf>
    <xf numFmtId="0" fontId="0" fillId="0" borderId="0" xfId="1" applyFont="1"/>
    <xf numFmtId="165" fontId="0" fillId="0" borderId="0" xfId="2" applyNumberFormat="1" applyFont="1"/>
    <xf numFmtId="0" fontId="4" fillId="4" borderId="11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165" fontId="7" fillId="5" borderId="4" xfId="2" applyNumberFormat="1" applyFont="1" applyFill="1" applyBorder="1" applyAlignment="1">
      <alignment horizontal="center"/>
    </xf>
    <xf numFmtId="165" fontId="7" fillId="5" borderId="9" xfId="2" applyNumberFormat="1" applyFont="1" applyFill="1" applyBorder="1" applyAlignment="1">
      <alignment horizontal="center"/>
    </xf>
    <xf numFmtId="165" fontId="8" fillId="3" borderId="4" xfId="2" applyNumberFormat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41" fontId="2" fillId="0" borderId="4" xfId="3" applyFont="1" applyFill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41" fontId="0" fillId="0" borderId="4" xfId="1" applyNumberFormat="1" applyFont="1" applyBorder="1"/>
    <xf numFmtId="165" fontId="0" fillId="0" borderId="11" xfId="2" applyNumberFormat="1" applyFont="1" applyBorder="1"/>
    <xf numFmtId="165" fontId="0" fillId="0" borderId="0" xfId="2" applyNumberFormat="1" applyFont="1" applyBorder="1"/>
    <xf numFmtId="165" fontId="0" fillId="0" borderId="12" xfId="2" applyNumberFormat="1" applyFont="1" applyBorder="1"/>
    <xf numFmtId="0" fontId="2" fillId="3" borderId="4" xfId="1" applyFont="1" applyFill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165" fontId="9" fillId="0" borderId="5" xfId="2" applyNumberFormat="1" applyFont="1" applyBorder="1"/>
    <xf numFmtId="0" fontId="2" fillId="7" borderId="4" xfId="1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2" fillId="9" borderId="4" xfId="1" applyFont="1" applyFill="1" applyBorder="1" applyAlignment="1">
      <alignment horizontal="center" vertical="center"/>
    </xf>
    <xf numFmtId="0" fontId="2" fillId="10" borderId="4" xfId="1" applyFont="1" applyFill="1" applyBorder="1" applyAlignment="1">
      <alignment horizontal="center" vertical="center"/>
    </xf>
    <xf numFmtId="0" fontId="2" fillId="11" borderId="4" xfId="1" applyFont="1" applyFill="1" applyBorder="1" applyAlignment="1">
      <alignment horizontal="center" vertical="center"/>
    </xf>
    <xf numFmtId="0" fontId="2" fillId="12" borderId="4" xfId="1" applyFont="1" applyFill="1" applyBorder="1" applyAlignment="1">
      <alignment horizontal="center" vertical="center"/>
    </xf>
    <xf numFmtId="0" fontId="2" fillId="13" borderId="4" xfId="1" applyFont="1" applyFill="1" applyBorder="1" applyAlignment="1">
      <alignment horizontal="center" vertical="center"/>
    </xf>
    <xf numFmtId="0" fontId="2" fillId="14" borderId="4" xfId="1" applyFont="1" applyFill="1" applyBorder="1" applyAlignment="1">
      <alignment horizontal="center" vertical="center"/>
    </xf>
    <xf numFmtId="0" fontId="2" fillId="15" borderId="4" xfId="1" applyFont="1" applyFill="1" applyBorder="1" applyAlignment="1">
      <alignment horizontal="center" vertical="center"/>
    </xf>
    <xf numFmtId="0" fontId="2" fillId="16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165" fontId="9" fillId="0" borderId="4" xfId="2" applyNumberFormat="1" applyFont="1" applyFill="1" applyBorder="1"/>
    <xf numFmtId="41" fontId="2" fillId="0" borderId="5" xfId="3" applyFont="1" applyFill="1" applyBorder="1" applyAlignment="1">
      <alignment horizontal="center" vertical="center"/>
    </xf>
    <xf numFmtId="165" fontId="9" fillId="0" borderId="4" xfId="2" applyNumberFormat="1" applyFont="1" applyBorder="1"/>
    <xf numFmtId="0" fontId="0" fillId="0" borderId="4" xfId="1" applyFont="1" applyBorder="1"/>
    <xf numFmtId="0" fontId="4" fillId="17" borderId="14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41" fontId="4" fillId="3" borderId="15" xfId="3" applyFont="1" applyFill="1" applyBorder="1" applyAlignment="1">
      <alignment horizontal="center" vertical="center"/>
    </xf>
    <xf numFmtId="41" fontId="4" fillId="3" borderId="16" xfId="3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left" vertical="center"/>
    </xf>
    <xf numFmtId="0" fontId="4" fillId="3" borderId="17" xfId="1" applyFont="1" applyFill="1" applyBorder="1" applyAlignment="1">
      <alignment horizontal="left" vertical="center"/>
    </xf>
    <xf numFmtId="41" fontId="4" fillId="3" borderId="4" xfId="1" applyNumberFormat="1" applyFont="1" applyFill="1" applyBorder="1" applyAlignment="1">
      <alignment horizontal="center" vertical="center"/>
    </xf>
    <xf numFmtId="41" fontId="4" fillId="3" borderId="4" xfId="1" applyNumberFormat="1" applyFont="1" applyFill="1" applyBorder="1" applyAlignment="1">
      <alignment vertical="center"/>
    </xf>
    <xf numFmtId="165" fontId="4" fillId="3" borderId="4" xfId="2" applyNumberFormat="1" applyFont="1" applyFill="1" applyBorder="1" applyAlignment="1">
      <alignment vertical="center"/>
    </xf>
    <xf numFmtId="165" fontId="4" fillId="6" borderId="4" xfId="2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41" fontId="2" fillId="18" borderId="4" xfId="3" applyFont="1" applyFill="1" applyBorder="1" applyAlignment="1">
      <alignment horizontal="center" vertical="center"/>
    </xf>
    <xf numFmtId="0" fontId="2" fillId="19" borderId="4" xfId="1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top"/>
    </xf>
    <xf numFmtId="41" fontId="2" fillId="19" borderId="4" xfId="3" applyFont="1" applyFill="1" applyBorder="1" applyAlignment="1">
      <alignment horizontal="center" vertical="center"/>
    </xf>
    <xf numFmtId="0" fontId="2" fillId="19" borderId="4" xfId="1" applyFont="1" applyFill="1" applyBorder="1" applyAlignment="1">
      <alignment horizontal="left" vertical="center"/>
    </xf>
    <xf numFmtId="0" fontId="2" fillId="19" borderId="0" xfId="1" applyFont="1" applyFill="1" applyAlignment="1">
      <alignment horizontal="center" vertical="center"/>
    </xf>
    <xf numFmtId="0" fontId="2" fillId="19" borderId="10" xfId="0" applyFont="1" applyFill="1" applyBorder="1" applyAlignment="1">
      <alignment horizontal="center" vertical="top"/>
    </xf>
    <xf numFmtId="41" fontId="2" fillId="19" borderId="0" xfId="3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9" fontId="3" fillId="3" borderId="4" xfId="1" applyNumberFormat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 vertical="center"/>
    </xf>
    <xf numFmtId="0" fontId="3" fillId="0" borderId="5" xfId="1" applyFont="1" applyBorder="1"/>
    <xf numFmtId="1" fontId="4" fillId="4" borderId="4" xfId="1" applyNumberFormat="1" applyFont="1" applyFill="1" applyBorder="1" applyAlignment="1">
      <alignment horizontal="center" vertical="center"/>
    </xf>
    <xf numFmtId="1" fontId="4" fillId="4" borderId="5" xfId="1" applyNumberFormat="1" applyFont="1" applyFill="1" applyBorder="1" applyAlignment="1">
      <alignment horizontal="center" vertical="center"/>
    </xf>
    <xf numFmtId="1" fontId="4" fillId="4" borderId="10" xfId="1" applyNumberFormat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165" fontId="4" fillId="5" borderId="8" xfId="2" applyNumberFormat="1" applyFont="1" applyFill="1" applyBorder="1" applyAlignment="1">
      <alignment horizontal="center"/>
    </xf>
    <xf numFmtId="165" fontId="4" fillId="5" borderId="9" xfId="2" applyNumberFormat="1" applyFont="1" applyFill="1" applyBorder="1" applyAlignment="1">
      <alignment horizontal="center"/>
    </xf>
    <xf numFmtId="165" fontId="6" fillId="3" borderId="4" xfId="2" applyNumberFormat="1" applyFont="1" applyFill="1" applyBorder="1" applyAlignment="1">
      <alignment horizontal="center" vertical="center"/>
    </xf>
    <xf numFmtId="165" fontId="6" fillId="6" borderId="7" xfId="2" applyNumberFormat="1" applyFont="1" applyFill="1" applyBorder="1" applyAlignment="1">
      <alignment horizontal="center" vertical="center"/>
    </xf>
    <xf numFmtId="165" fontId="6" fillId="6" borderId="12" xfId="2" applyNumberFormat="1" applyFont="1" applyFill="1" applyBorder="1" applyAlignment="1">
      <alignment horizontal="center" vertical="center"/>
    </xf>
  </cellXfs>
  <cellStyles count="4">
    <cellStyle name="Comma [0] 2" xfId="3" xr:uid="{50909BE4-A83D-417B-9F58-E8FB8301E814}"/>
    <cellStyle name="Comma 2" xfId="2" xr:uid="{BA6E3C35-D504-4F7D-AADA-3D61240EB159}"/>
    <cellStyle name="Normal" xfId="0" builtinId="0"/>
    <cellStyle name="Normal 2 2" xfId="1" xr:uid="{D215B98B-0D2A-4934-8936-5099EA72E19A}"/>
  </cellStyles>
  <dxfs count="0"/>
  <tableStyles count="0" defaultTableStyle="TableStyleMedium2" defaultPivotStyle="PivotStyleLight16"/>
  <colors>
    <mruColors>
      <color rgb="FFCCFF33"/>
      <color rgb="FF66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noco-my.sharepoint.com/personal/mulyanto_djuhardi_sonoco_com/Documents/Documents/Trucking%20Cs%20n%20Whouse/WHouse02B.xlsx" TargetMode="External"/><Relationship Id="rId1" Type="http://schemas.openxmlformats.org/officeDocument/2006/relationships/externalLinkPath" Target="https://sonoco-my.sharepoint.com/personal/mulyanto_djuhardi_sonoco_com/Documents/Documents/Trucking%20Cs%20n%20Whouse/WHouse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 refreshError="1"/>
      <sheetData sheetId="1" refreshError="1"/>
      <sheetData sheetId="2" refreshError="1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1987.7840000000001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2767.2719999999999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  <cell r="E7" t="str">
            <v/>
          </cell>
          <cell r="F7" t="str">
            <v/>
          </cell>
        </row>
        <row r="8">
          <cell r="B8">
            <v>5</v>
          </cell>
          <cell r="C8" t="str">
            <v>45882-5</v>
          </cell>
          <cell r="D8">
            <v>0</v>
          </cell>
          <cell r="E8" t="str">
            <v/>
          </cell>
          <cell r="F8" t="str">
            <v/>
          </cell>
        </row>
        <row r="9">
          <cell r="B9">
            <v>6</v>
          </cell>
          <cell r="C9" t="str">
            <v>45882-6</v>
          </cell>
          <cell r="D9">
            <v>0</v>
          </cell>
          <cell r="E9" t="str">
            <v/>
          </cell>
          <cell r="F9" t="str">
            <v/>
          </cell>
        </row>
        <row r="10">
          <cell r="B10">
            <v>7</v>
          </cell>
          <cell r="C10" t="str">
            <v>45882-7</v>
          </cell>
          <cell r="D10">
            <v>0</v>
          </cell>
          <cell r="E10" t="str">
            <v/>
          </cell>
          <cell r="F10" t="str">
            <v/>
          </cell>
        </row>
        <row r="11">
          <cell r="B11">
            <v>8</v>
          </cell>
          <cell r="C11" t="str">
            <v>45882-8</v>
          </cell>
          <cell r="D11">
            <v>0</v>
          </cell>
          <cell r="E11" t="str">
            <v/>
          </cell>
          <cell r="F11" t="str">
            <v/>
          </cell>
        </row>
        <row r="12">
          <cell r="B12">
            <v>9</v>
          </cell>
          <cell r="C12" t="str">
            <v>45882-9</v>
          </cell>
          <cell r="D12">
            <v>0</v>
          </cell>
          <cell r="E12" t="str">
            <v/>
          </cell>
          <cell r="F12" t="str">
            <v/>
          </cell>
        </row>
        <row r="13">
          <cell r="B13">
            <v>10</v>
          </cell>
          <cell r="C13" t="str">
            <v>45882-10</v>
          </cell>
          <cell r="D13">
            <v>0</v>
          </cell>
          <cell r="E13" t="str">
            <v/>
          </cell>
          <cell r="F13" t="str">
            <v/>
          </cell>
        </row>
        <row r="14">
          <cell r="B14">
            <v>11</v>
          </cell>
          <cell r="C14" t="str">
            <v>45882-11</v>
          </cell>
          <cell r="D14">
            <v>0</v>
          </cell>
          <cell r="E14" t="str">
            <v/>
          </cell>
          <cell r="F14" t="str">
            <v/>
          </cell>
        </row>
        <row r="15">
          <cell r="B15">
            <v>12</v>
          </cell>
          <cell r="C15" t="str">
            <v>45882-12</v>
          </cell>
          <cell r="D15">
            <v>0</v>
          </cell>
          <cell r="E15" t="str">
            <v/>
          </cell>
          <cell r="F15" t="str">
            <v/>
          </cell>
        </row>
        <row r="16">
          <cell r="B16">
            <v>13</v>
          </cell>
          <cell r="C16" t="str">
            <v>45882-13</v>
          </cell>
          <cell r="D16">
            <v>0</v>
          </cell>
          <cell r="E16" t="str">
            <v/>
          </cell>
          <cell r="F16" t="str">
            <v/>
          </cell>
        </row>
        <row r="17">
          <cell r="B17">
            <v>14</v>
          </cell>
          <cell r="C17" t="str">
            <v>45882-14</v>
          </cell>
          <cell r="D17">
            <v>0</v>
          </cell>
          <cell r="E17" t="str">
            <v/>
          </cell>
          <cell r="F17" t="str">
            <v/>
          </cell>
        </row>
        <row r="18">
          <cell r="B18">
            <v>15</v>
          </cell>
          <cell r="C18" t="str">
            <v>45882-15</v>
          </cell>
          <cell r="D18">
            <v>0</v>
          </cell>
          <cell r="E18" t="str">
            <v/>
          </cell>
          <cell r="F18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E8C47-A577-4370-A963-36DE73B72E6B}">
  <sheetPr>
    <tabColor rgb="FFFF0000"/>
  </sheetPr>
  <dimension ref="A1:V98"/>
  <sheetViews>
    <sheetView showGridLines="0" tabSelected="1" topLeftCell="A81" zoomScaleNormal="100" workbookViewId="0">
      <selection activeCell="A94" sqref="A94"/>
    </sheetView>
  </sheetViews>
  <sheetFormatPr defaultColWidth="9.1796875" defaultRowHeight="15" customHeight="1" x14ac:dyDescent="0.35"/>
  <cols>
    <col min="1" max="1" width="11.90625" style="2" bestFit="1" customWidth="1"/>
    <col min="2" max="2" width="28.90625" style="2" customWidth="1"/>
    <col min="3" max="3" width="7.36328125" style="2" customWidth="1"/>
    <col min="4" max="4" width="10.453125" style="2" customWidth="1"/>
    <col min="5" max="5" width="23.81640625" style="2" bestFit="1" customWidth="1"/>
    <col min="6" max="6" width="5.453125" style="2" customWidth="1"/>
    <col min="7" max="7" width="12.1796875" style="2" customWidth="1"/>
    <col min="8" max="8" width="14.54296875" style="2" customWidth="1"/>
    <col min="9" max="9" width="9.1796875" style="2" customWidth="1"/>
    <col min="10" max="10" width="11.54296875" style="2" bestFit="1" customWidth="1"/>
    <col min="11" max="11" width="8.1796875" style="2" customWidth="1"/>
    <col min="12" max="12" width="9.81640625" style="2" customWidth="1"/>
    <col min="13" max="13" width="43.6328125" style="2" bestFit="1" customWidth="1"/>
    <col min="14" max="14" width="7.08984375" style="1" customWidth="1"/>
    <col min="15" max="17" width="9.1796875" style="2" customWidth="1"/>
    <col min="18" max="20" width="9.1796875" style="3" customWidth="1"/>
    <col min="21" max="21" width="10.36328125" style="3" customWidth="1"/>
    <col min="22" max="22" width="10.08984375" style="3" customWidth="1"/>
    <col min="23" max="27" width="9.1796875" style="2" customWidth="1"/>
    <col min="28" max="16384" width="9.1796875" style="2"/>
  </cols>
  <sheetData>
    <row r="1" spans="1:22" ht="15" hidden="1" customHeight="1" x14ac:dyDescent="0.35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22" ht="15" hidden="1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U2" s="3">
        <v>22</v>
      </c>
      <c r="V2" s="3">
        <v>23</v>
      </c>
    </row>
    <row r="3" spans="1:22" ht="15" customHeight="1" x14ac:dyDescent="0.35">
      <c r="A3" s="64" t="s">
        <v>111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/>
      <c r="U3" s="2" t="s">
        <v>0</v>
      </c>
      <c r="V3" s="2" t="s">
        <v>0</v>
      </c>
    </row>
    <row r="4" spans="1:22" ht="15" customHeight="1" x14ac:dyDescent="0.35">
      <c r="A4" s="65" t="s">
        <v>1</v>
      </c>
      <c r="B4" s="67" t="s">
        <v>2</v>
      </c>
      <c r="C4" s="68" t="s">
        <v>3</v>
      </c>
      <c r="D4" s="68" t="s">
        <v>4</v>
      </c>
      <c r="E4" s="70" t="s">
        <v>5</v>
      </c>
      <c r="F4" s="71"/>
      <c r="G4" s="72" t="s">
        <v>6</v>
      </c>
      <c r="H4" s="72" t="s">
        <v>7</v>
      </c>
      <c r="I4" s="72" t="s">
        <v>8</v>
      </c>
      <c r="J4" s="58" t="s">
        <v>9</v>
      </c>
      <c r="K4" s="72" t="s">
        <v>10</v>
      </c>
      <c r="L4" s="72" t="s">
        <v>11</v>
      </c>
      <c r="M4" s="58" t="s">
        <v>12</v>
      </c>
      <c r="N4" s="73" t="s">
        <v>11</v>
      </c>
      <c r="O4" s="58" t="s">
        <v>13</v>
      </c>
      <c r="P4" s="58" t="s">
        <v>14</v>
      </c>
      <c r="Q4" s="58" t="s">
        <v>15</v>
      </c>
      <c r="R4" s="75" t="s">
        <v>16</v>
      </c>
      <c r="S4" s="76"/>
      <c r="T4" s="77" t="s">
        <v>17</v>
      </c>
      <c r="U4" s="77"/>
      <c r="V4" s="78" t="s">
        <v>18</v>
      </c>
    </row>
    <row r="5" spans="1:22" ht="15" customHeight="1" x14ac:dyDescent="0.35">
      <c r="A5" s="66"/>
      <c r="B5" s="66"/>
      <c r="C5" s="69"/>
      <c r="D5" s="69"/>
      <c r="E5" s="4" t="s">
        <v>19</v>
      </c>
      <c r="F5" s="5" t="s">
        <v>20</v>
      </c>
      <c r="G5" s="66"/>
      <c r="H5" s="66"/>
      <c r="I5" s="66"/>
      <c r="J5" s="59"/>
      <c r="K5" s="66"/>
      <c r="L5" s="66"/>
      <c r="M5" s="59"/>
      <c r="N5" s="74"/>
      <c r="O5" s="59"/>
      <c r="P5" s="59"/>
      <c r="Q5" s="59"/>
      <c r="R5" s="6" t="s">
        <v>21</v>
      </c>
      <c r="S5" s="7" t="s">
        <v>22</v>
      </c>
      <c r="T5" s="8" t="s">
        <v>21</v>
      </c>
      <c r="U5" s="8" t="s">
        <v>22</v>
      </c>
      <c r="V5" s="79"/>
    </row>
    <row r="6" spans="1:22" ht="15" customHeight="1" x14ac:dyDescent="0.35">
      <c r="A6" s="9" t="s">
        <v>112</v>
      </c>
      <c r="B6" s="9" t="s">
        <v>57</v>
      </c>
      <c r="C6" s="9" t="s">
        <v>106</v>
      </c>
      <c r="D6" s="9"/>
      <c r="E6" s="9" t="s">
        <v>60</v>
      </c>
      <c r="F6" s="9">
        <v>62</v>
      </c>
      <c r="G6" s="10" t="s">
        <v>51</v>
      </c>
      <c r="H6" s="10" t="s">
        <v>52</v>
      </c>
      <c r="I6" s="11">
        <v>380</v>
      </c>
      <c r="J6" s="11">
        <f t="shared" ref="J6:J11" si="0">I6*K6</f>
        <v>15580</v>
      </c>
      <c r="K6" s="17">
        <v>41</v>
      </c>
      <c r="L6" s="12" t="s">
        <v>33</v>
      </c>
      <c r="M6" s="12" t="s">
        <v>50</v>
      </c>
      <c r="O6" s="13">
        <f t="shared" ref="O6:O42" si="1">(F6*J6)/1000</f>
        <v>965.96</v>
      </c>
      <c r="P6" s="13">
        <f t="shared" ref="P6:P42" si="2">K6</f>
        <v>41</v>
      </c>
      <c r="R6" s="14"/>
      <c r="S6" s="15"/>
      <c r="T6" s="15"/>
      <c r="U6" s="15"/>
      <c r="V6" s="16"/>
    </row>
    <row r="7" spans="1:22" ht="15" customHeight="1" x14ac:dyDescent="0.35">
      <c r="A7" s="9" t="s">
        <v>113</v>
      </c>
      <c r="B7" s="9" t="s">
        <v>73</v>
      </c>
      <c r="C7" s="9" t="s">
        <v>107</v>
      </c>
      <c r="D7" s="9"/>
      <c r="E7" s="9" t="s">
        <v>24</v>
      </c>
      <c r="F7" s="9">
        <v>28</v>
      </c>
      <c r="G7" s="10" t="s">
        <v>39</v>
      </c>
      <c r="H7" s="10" t="s">
        <v>35</v>
      </c>
      <c r="I7" s="11">
        <v>1224</v>
      </c>
      <c r="J7" s="11">
        <f t="shared" si="0"/>
        <v>6120</v>
      </c>
      <c r="K7" s="17">
        <v>5</v>
      </c>
      <c r="L7" s="12" t="s">
        <v>33</v>
      </c>
      <c r="M7" s="12" t="s">
        <v>50</v>
      </c>
      <c r="O7" s="13">
        <f t="shared" si="1"/>
        <v>171.36</v>
      </c>
      <c r="P7" s="13">
        <f t="shared" si="2"/>
        <v>5</v>
      </c>
      <c r="Q7" s="30"/>
      <c r="R7" s="14"/>
      <c r="S7" s="15"/>
      <c r="T7" s="15"/>
      <c r="U7" s="15"/>
      <c r="V7" s="16"/>
    </row>
    <row r="8" spans="1:22" ht="15" customHeight="1" x14ac:dyDescent="0.35">
      <c r="A8" s="9" t="s">
        <v>113</v>
      </c>
      <c r="B8" s="9" t="s">
        <v>73</v>
      </c>
      <c r="C8" s="9" t="s">
        <v>107</v>
      </c>
      <c r="D8" s="9"/>
      <c r="E8" s="9" t="s">
        <v>24</v>
      </c>
      <c r="F8" s="9">
        <v>28</v>
      </c>
      <c r="G8" s="10" t="s">
        <v>34</v>
      </c>
      <c r="H8" s="10" t="s">
        <v>35</v>
      </c>
      <c r="I8" s="11">
        <v>1224</v>
      </c>
      <c r="J8" s="11">
        <f t="shared" si="0"/>
        <v>1224</v>
      </c>
      <c r="K8" s="17">
        <v>1</v>
      </c>
      <c r="L8" s="12" t="s">
        <v>33</v>
      </c>
      <c r="M8" s="12" t="s">
        <v>50</v>
      </c>
      <c r="O8" s="13">
        <f t="shared" si="1"/>
        <v>34.271999999999998</v>
      </c>
      <c r="P8" s="13">
        <f t="shared" si="2"/>
        <v>1</v>
      </c>
      <c r="R8" s="14"/>
      <c r="S8" s="15"/>
      <c r="T8" s="15"/>
      <c r="U8" s="15"/>
      <c r="V8" s="16"/>
    </row>
    <row r="9" spans="1:22" ht="15" customHeight="1" x14ac:dyDescent="0.35">
      <c r="A9" s="9" t="s">
        <v>113</v>
      </c>
      <c r="B9" s="9" t="s">
        <v>73</v>
      </c>
      <c r="C9" s="9" t="s">
        <v>107</v>
      </c>
      <c r="D9" s="9"/>
      <c r="E9" s="9" t="s">
        <v>36</v>
      </c>
      <c r="F9" s="9">
        <v>80</v>
      </c>
      <c r="G9" s="10" t="s">
        <v>41</v>
      </c>
      <c r="H9" s="10" t="s">
        <v>74</v>
      </c>
      <c r="I9" s="11">
        <v>390</v>
      </c>
      <c r="J9" s="11">
        <f t="shared" si="0"/>
        <v>3900</v>
      </c>
      <c r="K9" s="17">
        <v>10</v>
      </c>
      <c r="L9" s="12" t="s">
        <v>33</v>
      </c>
      <c r="M9" s="12" t="s">
        <v>50</v>
      </c>
      <c r="O9" s="13">
        <f t="shared" si="1"/>
        <v>312</v>
      </c>
      <c r="P9" s="13">
        <f t="shared" si="2"/>
        <v>10</v>
      </c>
      <c r="R9" s="14"/>
      <c r="S9" s="15"/>
      <c r="T9" s="15"/>
      <c r="U9" s="15"/>
      <c r="V9" s="16"/>
    </row>
    <row r="10" spans="1:22" ht="15" customHeight="1" x14ac:dyDescent="0.35">
      <c r="A10" s="9" t="s">
        <v>113</v>
      </c>
      <c r="B10" s="9" t="s">
        <v>73</v>
      </c>
      <c r="C10" s="9" t="s">
        <v>107</v>
      </c>
      <c r="D10" s="9"/>
      <c r="E10" s="9" t="s">
        <v>36</v>
      </c>
      <c r="F10" s="9">
        <v>80</v>
      </c>
      <c r="G10" s="10" t="s">
        <v>63</v>
      </c>
      <c r="H10" s="10" t="s">
        <v>74</v>
      </c>
      <c r="I10" s="11">
        <v>390</v>
      </c>
      <c r="J10" s="11">
        <f t="shared" si="0"/>
        <v>3900</v>
      </c>
      <c r="K10" s="17">
        <v>10</v>
      </c>
      <c r="L10" s="12" t="s">
        <v>33</v>
      </c>
      <c r="M10" s="12" t="s">
        <v>50</v>
      </c>
      <c r="O10" s="13">
        <f t="shared" si="1"/>
        <v>312</v>
      </c>
      <c r="P10" s="13">
        <f t="shared" si="2"/>
        <v>10</v>
      </c>
      <c r="R10" s="14"/>
      <c r="S10" s="15"/>
      <c r="T10" s="15"/>
      <c r="U10" s="15"/>
      <c r="V10" s="16"/>
    </row>
    <row r="11" spans="1:22" ht="15" customHeight="1" x14ac:dyDescent="0.35">
      <c r="A11" s="9" t="s">
        <v>113</v>
      </c>
      <c r="B11" s="9" t="s">
        <v>73</v>
      </c>
      <c r="C11" s="9" t="s">
        <v>107</v>
      </c>
      <c r="D11" s="9"/>
      <c r="E11" s="9" t="s">
        <v>60</v>
      </c>
      <c r="F11" s="9">
        <v>62</v>
      </c>
      <c r="G11" s="10" t="s">
        <v>25</v>
      </c>
      <c r="H11" s="10" t="s">
        <v>53</v>
      </c>
      <c r="I11" s="11">
        <v>410</v>
      </c>
      <c r="J11" s="11">
        <f t="shared" si="0"/>
        <v>8200</v>
      </c>
      <c r="K11" s="17">
        <v>20</v>
      </c>
      <c r="L11" s="12" t="s">
        <v>27</v>
      </c>
      <c r="M11" s="12" t="s">
        <v>50</v>
      </c>
      <c r="O11" s="13">
        <f t="shared" si="1"/>
        <v>508.4</v>
      </c>
      <c r="P11" s="13">
        <f t="shared" si="2"/>
        <v>20</v>
      </c>
      <c r="R11" s="14"/>
      <c r="S11" s="15"/>
      <c r="T11" s="15"/>
      <c r="U11" s="15"/>
      <c r="V11" s="16"/>
    </row>
    <row r="12" spans="1:22" ht="15" customHeight="1" thickBot="1" x14ac:dyDescent="0.4">
      <c r="A12" s="9" t="s">
        <v>114</v>
      </c>
      <c r="B12" s="9" t="s">
        <v>77</v>
      </c>
      <c r="C12" s="9" t="s">
        <v>107</v>
      </c>
      <c r="D12" s="9"/>
      <c r="E12" s="9" t="s">
        <v>44</v>
      </c>
      <c r="F12" s="9">
        <v>42</v>
      </c>
      <c r="G12" s="10" t="s">
        <v>78</v>
      </c>
      <c r="H12" s="10" t="s">
        <v>35</v>
      </c>
      <c r="I12" s="11">
        <v>936</v>
      </c>
      <c r="J12" s="50">
        <v>10000</v>
      </c>
      <c r="K12" s="17">
        <v>11</v>
      </c>
      <c r="L12" s="12" t="s">
        <v>33</v>
      </c>
      <c r="M12" s="12" t="s">
        <v>28</v>
      </c>
      <c r="O12" s="13">
        <f t="shared" si="1"/>
        <v>420</v>
      </c>
      <c r="P12" s="13">
        <f t="shared" si="2"/>
        <v>11</v>
      </c>
      <c r="R12" s="14"/>
      <c r="S12" s="15"/>
      <c r="T12" s="15"/>
      <c r="U12" s="15"/>
      <c r="V12" s="16"/>
    </row>
    <row r="13" spans="1:22" s="49" customFormat="1" ht="15" customHeight="1" thickBot="1" x14ac:dyDescent="0.4">
      <c r="A13" s="35">
        <v>1</v>
      </c>
      <c r="B13" s="36"/>
      <c r="C13" s="37"/>
      <c r="D13" s="38"/>
      <c r="E13" s="38"/>
      <c r="F13" s="39"/>
      <c r="G13" s="40"/>
      <c r="H13" s="40"/>
      <c r="I13" s="41"/>
      <c r="J13" s="42"/>
      <c r="K13" s="38">
        <f>SUM(K6:K12)</f>
        <v>98</v>
      </c>
      <c r="L13" s="43"/>
      <c r="M13" s="44"/>
      <c r="N13" s="36" t="str">
        <f>IFERROR(VLOOKUP(A13,[1]WHouse!$B$4:$G$18,6,0),"")</f>
        <v>Finish</v>
      </c>
      <c r="O13" s="46">
        <f>SUM(O6:O12)</f>
        <v>2723.9920000000002</v>
      </c>
      <c r="P13" s="46">
        <f>SUM(P6:P12)</f>
        <v>98</v>
      </c>
      <c r="Q13" s="45">
        <f>SUM(O13:P13)</f>
        <v>2821.9920000000002</v>
      </c>
      <c r="R13" s="47">
        <f>Q13-(Q13*0.04)</f>
        <v>2709.1123200000002</v>
      </c>
      <c r="S13" s="47">
        <f>Q13+(Q13*0.04)</f>
        <v>2934.8716800000002</v>
      </c>
      <c r="T13" s="47">
        <f>R13-(0.06*R13)</f>
        <v>2546.5655808000001</v>
      </c>
      <c r="U13" s="47">
        <f>S13+(0.06*S13)</f>
        <v>3110.9639808000002</v>
      </c>
      <c r="V13" s="48">
        <f>S13+(0.1*S13)</f>
        <v>3228.3588480000003</v>
      </c>
    </row>
    <row r="14" spans="1:22" ht="15" customHeight="1" x14ac:dyDescent="0.35">
      <c r="A14" s="9" t="s">
        <v>115</v>
      </c>
      <c r="B14" s="9" t="s">
        <v>62</v>
      </c>
      <c r="C14" s="9" t="s">
        <v>109</v>
      </c>
      <c r="D14" s="9"/>
      <c r="E14" s="9" t="s">
        <v>58</v>
      </c>
      <c r="F14" s="9">
        <v>40</v>
      </c>
      <c r="G14" s="10" t="s">
        <v>63</v>
      </c>
      <c r="H14" s="10" t="s">
        <v>64</v>
      </c>
      <c r="I14" s="11">
        <v>980</v>
      </c>
      <c r="J14" s="11">
        <f t="shared" ref="J14:J30" si="3">I14*K14</f>
        <v>45080</v>
      </c>
      <c r="K14" s="27">
        <v>46</v>
      </c>
      <c r="L14" s="12" t="s">
        <v>33</v>
      </c>
      <c r="M14" s="12" t="s">
        <v>50</v>
      </c>
      <c r="O14" s="13">
        <f t="shared" si="1"/>
        <v>1803.2</v>
      </c>
      <c r="P14" s="13">
        <f t="shared" si="2"/>
        <v>46</v>
      </c>
      <c r="R14" s="14"/>
      <c r="S14" s="15"/>
      <c r="T14" s="15"/>
      <c r="U14" s="15"/>
      <c r="V14" s="16"/>
    </row>
    <row r="15" spans="1:22" ht="15" customHeight="1" x14ac:dyDescent="0.35">
      <c r="A15" s="9" t="s">
        <v>115</v>
      </c>
      <c r="B15" s="9" t="s">
        <v>62</v>
      </c>
      <c r="C15" s="9" t="s">
        <v>109</v>
      </c>
      <c r="D15" s="9"/>
      <c r="E15" s="9" t="s">
        <v>58</v>
      </c>
      <c r="F15" s="9">
        <v>40</v>
      </c>
      <c r="G15" s="10" t="s">
        <v>54</v>
      </c>
      <c r="H15" s="10" t="s">
        <v>65</v>
      </c>
      <c r="I15" s="11">
        <v>980</v>
      </c>
      <c r="J15" s="11">
        <f t="shared" si="3"/>
        <v>15680</v>
      </c>
      <c r="K15" s="27">
        <v>16</v>
      </c>
      <c r="L15" s="12" t="s">
        <v>33</v>
      </c>
      <c r="M15" s="12" t="s">
        <v>50</v>
      </c>
      <c r="O15" s="13">
        <f t="shared" si="1"/>
        <v>627.20000000000005</v>
      </c>
      <c r="P15" s="13">
        <f t="shared" si="2"/>
        <v>16</v>
      </c>
      <c r="R15" s="14"/>
      <c r="S15" s="15"/>
      <c r="T15" s="15"/>
      <c r="U15" s="15"/>
      <c r="V15" s="16"/>
    </row>
    <row r="16" spans="1:22" ht="15" customHeight="1" x14ac:dyDescent="0.35">
      <c r="A16" s="9" t="s">
        <v>115</v>
      </c>
      <c r="B16" s="9" t="s">
        <v>62</v>
      </c>
      <c r="C16" s="9" t="s">
        <v>109</v>
      </c>
      <c r="D16" s="9"/>
      <c r="E16" s="9" t="s">
        <v>58</v>
      </c>
      <c r="F16" s="9">
        <v>62</v>
      </c>
      <c r="G16" s="10" t="s">
        <v>25</v>
      </c>
      <c r="H16" s="10" t="s">
        <v>66</v>
      </c>
      <c r="I16" s="11">
        <v>980</v>
      </c>
      <c r="J16" s="11">
        <f t="shared" si="3"/>
        <v>5880</v>
      </c>
      <c r="K16" s="27">
        <v>6</v>
      </c>
      <c r="L16" s="12" t="s">
        <v>33</v>
      </c>
      <c r="M16" s="12" t="s">
        <v>50</v>
      </c>
      <c r="O16" s="13">
        <f t="shared" si="1"/>
        <v>364.56</v>
      </c>
      <c r="P16" s="13">
        <f t="shared" si="2"/>
        <v>6</v>
      </c>
      <c r="R16" s="14"/>
      <c r="S16" s="15"/>
      <c r="T16" s="15"/>
      <c r="U16" s="15"/>
      <c r="V16" s="16"/>
    </row>
    <row r="17" spans="1:22" ht="15" customHeight="1" thickBot="1" x14ac:dyDescent="0.4">
      <c r="A17" s="9" t="s">
        <v>115</v>
      </c>
      <c r="B17" s="9" t="s">
        <v>62</v>
      </c>
      <c r="C17" s="9" t="s">
        <v>109</v>
      </c>
      <c r="D17" s="9"/>
      <c r="E17" s="9" t="s">
        <v>58</v>
      </c>
      <c r="F17" s="9">
        <v>40</v>
      </c>
      <c r="G17" s="10" t="s">
        <v>54</v>
      </c>
      <c r="H17" s="10" t="s">
        <v>67</v>
      </c>
      <c r="I17" s="11">
        <v>980</v>
      </c>
      <c r="J17" s="11">
        <f t="shared" si="3"/>
        <v>5880</v>
      </c>
      <c r="K17" s="27">
        <v>6</v>
      </c>
      <c r="L17" s="12" t="s">
        <v>33</v>
      </c>
      <c r="M17" s="12" t="s">
        <v>50</v>
      </c>
      <c r="O17" s="13">
        <f t="shared" si="1"/>
        <v>235.2</v>
      </c>
      <c r="P17" s="13">
        <f t="shared" si="2"/>
        <v>6</v>
      </c>
      <c r="R17" s="14"/>
      <c r="S17" s="15"/>
      <c r="T17" s="15"/>
      <c r="U17" s="15"/>
      <c r="V17" s="16"/>
    </row>
    <row r="18" spans="1:22" s="49" customFormat="1" ht="15" customHeight="1" thickBot="1" x14ac:dyDescent="0.4">
      <c r="A18" s="35">
        <v>2</v>
      </c>
      <c r="B18" s="36"/>
      <c r="C18" s="37"/>
      <c r="D18" s="38"/>
      <c r="E18" s="38"/>
      <c r="F18" s="39"/>
      <c r="G18" s="40"/>
      <c r="H18" s="40"/>
      <c r="I18" s="41"/>
      <c r="J18" s="42"/>
      <c r="K18" s="38">
        <f>SUM(K14:K17)</f>
        <v>74</v>
      </c>
      <c r="L18" s="43"/>
      <c r="M18" s="44"/>
      <c r="N18" s="36" t="str">
        <f>IFERROR(VLOOKUP(A18,[1]WHouse!$B$4:$G$18,6,0),"")</f>
        <v>Finish</v>
      </c>
      <c r="O18" s="46">
        <f>SUM(O14:O17)</f>
        <v>3030.16</v>
      </c>
      <c r="P18" s="46">
        <f>SUM(P14:P17)</f>
        <v>74</v>
      </c>
      <c r="Q18" s="45">
        <f>SUM(O18:P18)</f>
        <v>3104.16</v>
      </c>
      <c r="R18" s="47">
        <f>Q18-(Q18*0.04)</f>
        <v>2979.9935999999998</v>
      </c>
      <c r="S18" s="47">
        <f>Q18+(Q18*0.04)</f>
        <v>3228.3263999999999</v>
      </c>
      <c r="T18" s="47">
        <f>R18-(0.06*R18)</f>
        <v>2801.193984</v>
      </c>
      <c r="U18" s="47">
        <f>S18+(0.06*S18)</f>
        <v>3422.0259839999999</v>
      </c>
      <c r="V18" s="48">
        <f>S18+(0.1*S18)</f>
        <v>3551.15904</v>
      </c>
    </row>
    <row r="19" spans="1:22" ht="15" customHeight="1" x14ac:dyDescent="0.35">
      <c r="A19" s="9" t="s">
        <v>116</v>
      </c>
      <c r="B19" s="9" t="s">
        <v>62</v>
      </c>
      <c r="C19" s="9" t="s">
        <v>109</v>
      </c>
      <c r="D19" s="9"/>
      <c r="E19" s="9" t="s">
        <v>58</v>
      </c>
      <c r="F19" s="9">
        <v>40</v>
      </c>
      <c r="G19" s="10" t="s">
        <v>31</v>
      </c>
      <c r="H19" s="10" t="s">
        <v>68</v>
      </c>
      <c r="I19" s="11">
        <v>980</v>
      </c>
      <c r="J19" s="11">
        <f t="shared" si="3"/>
        <v>23520</v>
      </c>
      <c r="K19" s="29">
        <v>24</v>
      </c>
      <c r="L19" s="12" t="s">
        <v>33</v>
      </c>
      <c r="M19" s="12" t="s">
        <v>50</v>
      </c>
      <c r="O19" s="13">
        <f t="shared" si="1"/>
        <v>940.8</v>
      </c>
      <c r="P19" s="13">
        <f t="shared" si="2"/>
        <v>24</v>
      </c>
      <c r="R19" s="14"/>
      <c r="S19" s="15"/>
      <c r="T19" s="15"/>
      <c r="U19" s="15"/>
      <c r="V19" s="16"/>
    </row>
    <row r="20" spans="1:22" ht="15" customHeight="1" x14ac:dyDescent="0.35">
      <c r="A20" s="9" t="s">
        <v>116</v>
      </c>
      <c r="B20" s="9" t="s">
        <v>62</v>
      </c>
      <c r="C20" s="9" t="s">
        <v>109</v>
      </c>
      <c r="D20" s="9"/>
      <c r="E20" s="9" t="s">
        <v>60</v>
      </c>
      <c r="F20" s="9">
        <v>62</v>
      </c>
      <c r="G20" s="10" t="s">
        <v>25</v>
      </c>
      <c r="H20" s="10" t="s">
        <v>32</v>
      </c>
      <c r="I20" s="11">
        <v>410</v>
      </c>
      <c r="J20" s="11">
        <f t="shared" si="3"/>
        <v>12300</v>
      </c>
      <c r="K20" s="29">
        <v>30</v>
      </c>
      <c r="L20" s="12" t="s">
        <v>33</v>
      </c>
      <c r="M20" s="12" t="s">
        <v>50</v>
      </c>
      <c r="O20" s="13">
        <f t="shared" si="1"/>
        <v>762.6</v>
      </c>
      <c r="P20" s="13">
        <f t="shared" si="2"/>
        <v>30</v>
      </c>
      <c r="R20" s="14"/>
      <c r="S20" s="15"/>
      <c r="T20" s="15"/>
      <c r="U20" s="15"/>
      <c r="V20" s="16"/>
    </row>
    <row r="21" spans="1:22" ht="15" customHeight="1" x14ac:dyDescent="0.35">
      <c r="A21" s="9" t="s">
        <v>116</v>
      </c>
      <c r="B21" s="9" t="s">
        <v>62</v>
      </c>
      <c r="C21" s="9" t="s">
        <v>109</v>
      </c>
      <c r="D21" s="9"/>
      <c r="E21" s="9" t="s">
        <v>60</v>
      </c>
      <c r="F21" s="9">
        <v>62</v>
      </c>
      <c r="G21" s="10" t="s">
        <v>31</v>
      </c>
      <c r="H21" s="10" t="s">
        <v>26</v>
      </c>
      <c r="I21" s="11">
        <v>410</v>
      </c>
      <c r="J21" s="11">
        <f t="shared" si="3"/>
        <v>6560</v>
      </c>
      <c r="K21" s="29">
        <v>16</v>
      </c>
      <c r="L21" s="12" t="s">
        <v>33</v>
      </c>
      <c r="M21" s="12" t="s">
        <v>50</v>
      </c>
      <c r="O21" s="13">
        <f t="shared" si="1"/>
        <v>406.72</v>
      </c>
      <c r="P21" s="13">
        <f t="shared" si="2"/>
        <v>16</v>
      </c>
      <c r="R21" s="14"/>
      <c r="S21" s="15"/>
      <c r="T21" s="15"/>
      <c r="U21" s="15"/>
      <c r="V21" s="16"/>
    </row>
    <row r="22" spans="1:22" ht="15" customHeight="1" thickBot="1" x14ac:dyDescent="0.4">
      <c r="A22" s="9" t="s">
        <v>116</v>
      </c>
      <c r="B22" s="9" t="s">
        <v>62</v>
      </c>
      <c r="C22" s="9" t="s">
        <v>109</v>
      </c>
      <c r="D22" s="9"/>
      <c r="E22" s="9" t="s">
        <v>60</v>
      </c>
      <c r="F22" s="9">
        <v>62</v>
      </c>
      <c r="G22" s="10" t="s">
        <v>29</v>
      </c>
      <c r="H22" s="10" t="s">
        <v>72</v>
      </c>
      <c r="I22" s="11">
        <v>410</v>
      </c>
      <c r="J22" s="11">
        <f t="shared" si="3"/>
        <v>8200</v>
      </c>
      <c r="K22" s="29">
        <v>20</v>
      </c>
      <c r="L22" s="12" t="s">
        <v>27</v>
      </c>
      <c r="M22" s="12" t="s">
        <v>50</v>
      </c>
      <c r="O22" s="13">
        <f t="shared" si="1"/>
        <v>508.4</v>
      </c>
      <c r="P22" s="13">
        <f t="shared" si="2"/>
        <v>20</v>
      </c>
      <c r="R22" s="14"/>
      <c r="S22" s="15"/>
      <c r="T22" s="15"/>
      <c r="U22" s="15"/>
      <c r="V22" s="16"/>
    </row>
    <row r="23" spans="1:22" s="49" customFormat="1" ht="15" customHeight="1" thickBot="1" x14ac:dyDescent="0.4">
      <c r="A23" s="35">
        <v>3</v>
      </c>
      <c r="B23" s="36"/>
      <c r="C23" s="37"/>
      <c r="D23" s="38"/>
      <c r="E23" s="38"/>
      <c r="F23" s="39"/>
      <c r="G23" s="40"/>
      <c r="H23" s="40"/>
      <c r="I23" s="41"/>
      <c r="J23" s="42"/>
      <c r="K23" s="38">
        <f>SUM(K19:K22)</f>
        <v>90</v>
      </c>
      <c r="L23" s="43"/>
      <c r="M23" s="44"/>
      <c r="N23" s="36" t="str">
        <f>IFERROR(VLOOKUP(A23,[1]WHouse!$B$4:$G$18,6,0),"")</f>
        <v>Finish</v>
      </c>
      <c r="O23" s="46">
        <f>SUM(O19:O22)</f>
        <v>2618.52</v>
      </c>
      <c r="P23" s="46">
        <f>SUM(P19:P22)</f>
        <v>90</v>
      </c>
      <c r="Q23" s="45">
        <f>SUM(O23:P23)</f>
        <v>2708.52</v>
      </c>
      <c r="R23" s="47">
        <f>Q23-(Q23*0.04)</f>
        <v>2600.1792</v>
      </c>
      <c r="S23" s="47">
        <f>Q23+(Q23*0.04)</f>
        <v>2816.8607999999999</v>
      </c>
      <c r="T23" s="47">
        <f>R23-(0.06*R23)</f>
        <v>2444.1684479999999</v>
      </c>
      <c r="U23" s="47">
        <f>S23+(0.06*S23)</f>
        <v>2985.8724480000001</v>
      </c>
      <c r="V23" s="48">
        <f>S23+(0.1*S23)</f>
        <v>3098.5468799999999</v>
      </c>
    </row>
    <row r="24" spans="1:22" ht="15" customHeight="1" x14ac:dyDescent="0.35">
      <c r="A24" s="9" t="s">
        <v>117</v>
      </c>
      <c r="B24" s="9" t="s">
        <v>73</v>
      </c>
      <c r="C24" s="9" t="s">
        <v>107</v>
      </c>
      <c r="D24" s="9"/>
      <c r="E24" s="9" t="s">
        <v>36</v>
      </c>
      <c r="F24" s="9">
        <v>80</v>
      </c>
      <c r="G24" s="10" t="s">
        <v>25</v>
      </c>
      <c r="H24" s="10" t="s">
        <v>74</v>
      </c>
      <c r="I24" s="11">
        <v>390</v>
      </c>
      <c r="J24" s="11">
        <f t="shared" si="3"/>
        <v>3900</v>
      </c>
      <c r="K24" s="22">
        <v>10</v>
      </c>
      <c r="L24" s="12" t="s">
        <v>33</v>
      </c>
      <c r="M24" s="12" t="s">
        <v>50</v>
      </c>
      <c r="O24" s="13">
        <f t="shared" si="1"/>
        <v>312</v>
      </c>
      <c r="P24" s="13">
        <f t="shared" si="2"/>
        <v>10</v>
      </c>
      <c r="R24" s="14"/>
      <c r="S24" s="15"/>
      <c r="T24" s="15"/>
      <c r="U24" s="15"/>
      <c r="V24" s="16"/>
    </row>
    <row r="25" spans="1:22" ht="15" customHeight="1" x14ac:dyDescent="0.35">
      <c r="A25" s="9" t="s">
        <v>117</v>
      </c>
      <c r="B25" s="9" t="s">
        <v>73</v>
      </c>
      <c r="C25" s="9" t="s">
        <v>107</v>
      </c>
      <c r="D25" s="9"/>
      <c r="E25" s="9" t="s">
        <v>60</v>
      </c>
      <c r="F25" s="9">
        <v>62</v>
      </c>
      <c r="G25" s="10" t="s">
        <v>34</v>
      </c>
      <c r="H25" s="10" t="s">
        <v>35</v>
      </c>
      <c r="I25" s="11">
        <v>410</v>
      </c>
      <c r="J25" s="11">
        <f t="shared" si="3"/>
        <v>16400</v>
      </c>
      <c r="K25" s="22">
        <v>40</v>
      </c>
      <c r="L25" s="12" t="s">
        <v>27</v>
      </c>
      <c r="M25" s="12" t="s">
        <v>50</v>
      </c>
      <c r="O25" s="13">
        <f t="shared" si="1"/>
        <v>1016.8</v>
      </c>
      <c r="P25" s="13">
        <f t="shared" si="2"/>
        <v>40</v>
      </c>
      <c r="R25" s="14"/>
      <c r="S25" s="15"/>
      <c r="T25" s="15"/>
      <c r="U25" s="15"/>
      <c r="V25" s="16"/>
    </row>
    <row r="26" spans="1:22" ht="15" customHeight="1" x14ac:dyDescent="0.35">
      <c r="A26" s="9" t="s">
        <v>119</v>
      </c>
      <c r="B26" s="9" t="s">
        <v>76</v>
      </c>
      <c r="C26" s="9" t="s">
        <v>107</v>
      </c>
      <c r="D26" s="9"/>
      <c r="E26" s="9" t="s">
        <v>44</v>
      </c>
      <c r="F26" s="9">
        <v>42</v>
      </c>
      <c r="G26" s="10" t="s">
        <v>51</v>
      </c>
      <c r="H26" s="10" t="s">
        <v>52</v>
      </c>
      <c r="I26" s="11">
        <v>936</v>
      </c>
      <c r="J26" s="11">
        <f t="shared" si="3"/>
        <v>10296</v>
      </c>
      <c r="K26" s="22">
        <v>11</v>
      </c>
      <c r="L26" s="12" t="s">
        <v>33</v>
      </c>
      <c r="M26" s="12" t="s">
        <v>50</v>
      </c>
      <c r="O26" s="13">
        <f t="shared" si="1"/>
        <v>432.43200000000002</v>
      </c>
      <c r="P26" s="13">
        <f t="shared" si="2"/>
        <v>11</v>
      </c>
      <c r="R26" s="14"/>
      <c r="S26" s="15"/>
      <c r="T26" s="15"/>
      <c r="U26" s="15"/>
      <c r="V26" s="16"/>
    </row>
    <row r="27" spans="1:22" ht="15" customHeight="1" x14ac:dyDescent="0.35">
      <c r="A27" s="9" t="s">
        <v>118</v>
      </c>
      <c r="B27" s="9" t="s">
        <v>84</v>
      </c>
      <c r="C27" s="9" t="s">
        <v>107</v>
      </c>
      <c r="D27" s="9"/>
      <c r="E27" s="9" t="s">
        <v>58</v>
      </c>
      <c r="F27" s="9">
        <v>40</v>
      </c>
      <c r="G27" s="10" t="s">
        <v>31</v>
      </c>
      <c r="H27" s="10" t="s">
        <v>35</v>
      </c>
      <c r="I27" s="11">
        <v>931</v>
      </c>
      <c r="J27" s="11">
        <f t="shared" si="3"/>
        <v>5586</v>
      </c>
      <c r="K27" s="22">
        <v>6</v>
      </c>
      <c r="L27" s="12" t="s">
        <v>33</v>
      </c>
      <c r="M27" s="12" t="s">
        <v>50</v>
      </c>
      <c r="O27" s="13">
        <f t="shared" si="1"/>
        <v>223.44</v>
      </c>
      <c r="P27" s="13">
        <f t="shared" si="2"/>
        <v>6</v>
      </c>
      <c r="R27" s="14"/>
      <c r="S27" s="15"/>
      <c r="T27" s="15"/>
      <c r="U27" s="15"/>
      <c r="V27" s="16"/>
    </row>
    <row r="28" spans="1:22" ht="15" customHeight="1" thickBot="1" x14ac:dyDescent="0.4">
      <c r="A28" s="9" t="s">
        <v>118</v>
      </c>
      <c r="B28" s="9" t="s">
        <v>84</v>
      </c>
      <c r="C28" s="9" t="s">
        <v>107</v>
      </c>
      <c r="D28" s="9"/>
      <c r="E28" s="9" t="s">
        <v>58</v>
      </c>
      <c r="F28" s="9">
        <v>40</v>
      </c>
      <c r="G28" s="10" t="s">
        <v>85</v>
      </c>
      <c r="H28" s="10" t="s">
        <v>35</v>
      </c>
      <c r="I28" s="11">
        <v>931</v>
      </c>
      <c r="J28" s="11">
        <f t="shared" si="3"/>
        <v>5586</v>
      </c>
      <c r="K28" s="22">
        <v>6</v>
      </c>
      <c r="L28" s="12" t="s">
        <v>33</v>
      </c>
      <c r="M28" s="12" t="s">
        <v>50</v>
      </c>
      <c r="O28" s="13">
        <f t="shared" si="1"/>
        <v>223.44</v>
      </c>
      <c r="P28" s="13">
        <f t="shared" si="2"/>
        <v>6</v>
      </c>
      <c r="R28" s="14"/>
      <c r="S28" s="15"/>
      <c r="T28" s="15"/>
      <c r="U28" s="15"/>
      <c r="V28" s="16"/>
    </row>
    <row r="29" spans="1:22" s="49" customFormat="1" ht="15" customHeight="1" thickBot="1" x14ac:dyDescent="0.4">
      <c r="A29" s="35">
        <v>4</v>
      </c>
      <c r="B29" s="36"/>
      <c r="C29" s="37"/>
      <c r="D29" s="38"/>
      <c r="E29" s="38"/>
      <c r="F29" s="39"/>
      <c r="G29" s="40"/>
      <c r="H29" s="40"/>
      <c r="I29" s="41"/>
      <c r="J29" s="42"/>
      <c r="K29" s="38">
        <f>SUM(K24:K28)</f>
        <v>73</v>
      </c>
      <c r="L29" s="43"/>
      <c r="M29" s="44"/>
      <c r="N29" s="36" t="str">
        <f>IFERROR(VLOOKUP(A29,[1]WHouse!$B$4:$G$18,6,0),"")</f>
        <v/>
      </c>
      <c r="O29" s="46">
        <f>SUM(O25:O28)</f>
        <v>1896.1120000000001</v>
      </c>
      <c r="P29" s="46">
        <f>SUM(P24:P28)</f>
        <v>73</v>
      </c>
      <c r="Q29" s="45">
        <f>SUM(O29:P29)</f>
        <v>1969.1120000000001</v>
      </c>
      <c r="R29" s="47">
        <f>Q29-(Q29*0.04)</f>
        <v>1890.34752</v>
      </c>
      <c r="S29" s="47">
        <f>Q29+(Q29*0.04)</f>
        <v>2047.8764800000001</v>
      </c>
      <c r="T29" s="47">
        <f>R29-(0.06*R29)</f>
        <v>1776.9266688</v>
      </c>
      <c r="U29" s="47">
        <f>S29+(0.06*S29)</f>
        <v>2170.7490688000003</v>
      </c>
      <c r="V29" s="48">
        <f>S29+(0.1*S29)</f>
        <v>2252.6641280000003</v>
      </c>
    </row>
    <row r="30" spans="1:22" ht="15" customHeight="1" x14ac:dyDescent="0.35">
      <c r="A30" s="9" t="s">
        <v>120</v>
      </c>
      <c r="B30" s="9" t="s">
        <v>57</v>
      </c>
      <c r="C30" s="9" t="s">
        <v>106</v>
      </c>
      <c r="D30" s="9"/>
      <c r="E30" s="9" t="s">
        <v>60</v>
      </c>
      <c r="F30" s="9">
        <v>62</v>
      </c>
      <c r="G30" s="10" t="s">
        <v>25</v>
      </c>
      <c r="H30" s="10" t="s">
        <v>53</v>
      </c>
      <c r="I30" s="11">
        <v>380</v>
      </c>
      <c r="J30" s="11">
        <f t="shared" si="3"/>
        <v>22800</v>
      </c>
      <c r="K30" s="25">
        <v>60</v>
      </c>
      <c r="L30" s="12" t="s">
        <v>33</v>
      </c>
      <c r="M30" s="12" t="s">
        <v>50</v>
      </c>
      <c r="O30" s="13">
        <f t="shared" si="1"/>
        <v>1413.6</v>
      </c>
      <c r="P30" s="13">
        <f t="shared" si="2"/>
        <v>60</v>
      </c>
      <c r="R30" s="14"/>
      <c r="S30" s="15"/>
      <c r="T30" s="15"/>
      <c r="U30" s="15"/>
      <c r="V30" s="16"/>
    </row>
    <row r="31" spans="1:22" ht="15" customHeight="1" x14ac:dyDescent="0.35">
      <c r="A31" s="9" t="s">
        <v>121</v>
      </c>
      <c r="B31" s="9" t="s">
        <v>98</v>
      </c>
      <c r="C31" s="9" t="s">
        <v>110</v>
      </c>
      <c r="D31" s="9"/>
      <c r="E31" s="9" t="s">
        <v>99</v>
      </c>
      <c r="F31" s="18">
        <v>10.497619440000001</v>
      </c>
      <c r="G31" s="10"/>
      <c r="H31" s="10"/>
      <c r="I31" s="31"/>
      <c r="J31" s="11">
        <v>45000</v>
      </c>
      <c r="K31" s="25"/>
      <c r="L31" s="12"/>
      <c r="M31" s="12"/>
      <c r="O31" s="13">
        <f t="shared" si="1"/>
        <v>472.39287480000007</v>
      </c>
      <c r="P31" s="13">
        <f t="shared" si="2"/>
        <v>0</v>
      </c>
      <c r="R31" s="14"/>
      <c r="S31" s="15"/>
      <c r="T31" s="15"/>
      <c r="U31" s="15"/>
      <c r="V31" s="16"/>
    </row>
    <row r="32" spans="1:22" ht="15" customHeight="1" x14ac:dyDescent="0.35">
      <c r="A32" s="9" t="s">
        <v>122</v>
      </c>
      <c r="B32" s="9" t="s">
        <v>103</v>
      </c>
      <c r="C32" s="9" t="s">
        <v>110</v>
      </c>
      <c r="D32" s="9"/>
      <c r="E32" s="9" t="s">
        <v>101</v>
      </c>
      <c r="F32" s="18">
        <v>333.25775999999985</v>
      </c>
      <c r="G32" s="10"/>
      <c r="H32" s="10"/>
      <c r="I32" s="33"/>
      <c r="J32" s="11">
        <v>300</v>
      </c>
      <c r="K32" s="25"/>
      <c r="L32" s="12"/>
      <c r="M32" s="12"/>
      <c r="O32" s="13">
        <f t="shared" si="1"/>
        <v>99.977327999999957</v>
      </c>
      <c r="P32" s="13">
        <f t="shared" si="2"/>
        <v>0</v>
      </c>
      <c r="R32" s="14"/>
      <c r="S32" s="15"/>
      <c r="T32" s="15"/>
      <c r="U32" s="15"/>
      <c r="V32" s="16"/>
    </row>
    <row r="33" spans="1:22" ht="15" customHeight="1" x14ac:dyDescent="0.35">
      <c r="A33" s="9" t="s">
        <v>122</v>
      </c>
      <c r="B33" s="9" t="s">
        <v>103</v>
      </c>
      <c r="C33" s="9" t="s">
        <v>110</v>
      </c>
      <c r="D33" s="9"/>
      <c r="E33" s="9" t="s">
        <v>104</v>
      </c>
      <c r="F33" s="18">
        <v>371.12795999999986</v>
      </c>
      <c r="G33" s="10"/>
      <c r="H33" s="10"/>
      <c r="I33" s="33"/>
      <c r="J33" s="11">
        <v>500</v>
      </c>
      <c r="K33" s="25"/>
      <c r="L33" s="12"/>
      <c r="M33" s="12"/>
      <c r="O33" s="13">
        <f t="shared" si="1"/>
        <v>185.56397999999993</v>
      </c>
      <c r="P33" s="13">
        <f t="shared" si="2"/>
        <v>0</v>
      </c>
      <c r="R33" s="14"/>
      <c r="S33" s="15"/>
      <c r="T33" s="15"/>
      <c r="U33" s="15"/>
      <c r="V33" s="16"/>
    </row>
    <row r="34" spans="1:22" ht="15" customHeight="1" x14ac:dyDescent="0.35">
      <c r="A34" s="9" t="s">
        <v>122</v>
      </c>
      <c r="B34" s="9" t="s">
        <v>103</v>
      </c>
      <c r="C34" s="9" t="s">
        <v>110</v>
      </c>
      <c r="D34" s="9"/>
      <c r="E34" s="9" t="s">
        <v>101</v>
      </c>
      <c r="F34" s="18">
        <v>287.81351999999976</v>
      </c>
      <c r="G34" s="10"/>
      <c r="H34" s="10"/>
      <c r="I34" s="33"/>
      <c r="J34" s="11">
        <v>250</v>
      </c>
      <c r="K34" s="25"/>
      <c r="L34" s="12"/>
      <c r="M34" s="12"/>
      <c r="O34" s="13">
        <f t="shared" si="1"/>
        <v>71.953379999999939</v>
      </c>
      <c r="P34" s="13">
        <f t="shared" si="2"/>
        <v>0</v>
      </c>
      <c r="R34" s="14"/>
      <c r="S34" s="15"/>
      <c r="T34" s="15"/>
      <c r="U34" s="15"/>
      <c r="V34" s="16"/>
    </row>
    <row r="35" spans="1:22" ht="15" customHeight="1" x14ac:dyDescent="0.35">
      <c r="A35" s="9" t="s">
        <v>122</v>
      </c>
      <c r="B35" s="9" t="s">
        <v>103</v>
      </c>
      <c r="C35" s="9" t="s">
        <v>110</v>
      </c>
      <c r="D35" s="9"/>
      <c r="E35" s="9" t="s">
        <v>105</v>
      </c>
      <c r="F35" s="18">
        <v>444.89069399999988</v>
      </c>
      <c r="G35" s="10"/>
      <c r="H35" s="10"/>
      <c r="I35" s="33"/>
      <c r="J35" s="11">
        <v>500</v>
      </c>
      <c r="K35" s="25"/>
      <c r="L35" s="12"/>
      <c r="M35" s="12"/>
      <c r="O35" s="13">
        <f t="shared" si="1"/>
        <v>222.44534699999994</v>
      </c>
      <c r="P35" s="13">
        <f t="shared" si="2"/>
        <v>0</v>
      </c>
      <c r="R35" s="14"/>
      <c r="S35" s="15"/>
      <c r="T35" s="15"/>
      <c r="U35" s="15"/>
      <c r="V35" s="16"/>
    </row>
    <row r="36" spans="1:22" ht="15" customHeight="1" thickBot="1" x14ac:dyDescent="0.4">
      <c r="A36" s="9" t="s">
        <v>122</v>
      </c>
      <c r="B36" s="9" t="s">
        <v>103</v>
      </c>
      <c r="C36" s="9" t="s">
        <v>110</v>
      </c>
      <c r="D36" s="9"/>
      <c r="E36" s="9" t="s">
        <v>105</v>
      </c>
      <c r="F36" s="18">
        <v>383.66720399999997</v>
      </c>
      <c r="G36" s="10"/>
      <c r="H36" s="10"/>
      <c r="I36" s="33"/>
      <c r="J36" s="11">
        <v>250</v>
      </c>
      <c r="K36" s="25"/>
      <c r="L36" s="12"/>
      <c r="M36" s="12"/>
      <c r="O36" s="13">
        <f t="shared" si="1"/>
        <v>95.916800999999992</v>
      </c>
      <c r="P36" s="13">
        <f t="shared" si="2"/>
        <v>0</v>
      </c>
      <c r="R36" s="14"/>
      <c r="S36" s="15"/>
      <c r="T36" s="15"/>
      <c r="U36" s="15"/>
      <c r="V36" s="16"/>
    </row>
    <row r="37" spans="1:22" s="49" customFormat="1" ht="15" customHeight="1" thickBot="1" x14ac:dyDescent="0.4">
      <c r="A37" s="35">
        <v>6</v>
      </c>
      <c r="B37" s="36"/>
      <c r="C37" s="37"/>
      <c r="D37" s="38"/>
      <c r="E37" s="38"/>
      <c r="F37" s="39"/>
      <c r="G37" s="40"/>
      <c r="H37" s="40"/>
      <c r="I37" s="41"/>
      <c r="J37" s="42"/>
      <c r="K37" s="38">
        <f>SUM(K30:K36)</f>
        <v>60</v>
      </c>
      <c r="L37" s="43"/>
      <c r="M37" s="44"/>
      <c r="N37" s="36" t="str">
        <f>IFERROR(VLOOKUP(A37,[1]WHouse!$B$4:$G$18,6,0),"")</f>
        <v/>
      </c>
      <c r="O37" s="46">
        <f>SUM(O30:O36)</f>
        <v>2561.8497107999997</v>
      </c>
      <c r="P37" s="46">
        <f>SUM(P30:P36)</f>
        <v>60</v>
      </c>
      <c r="Q37" s="45">
        <f>SUM(O37:P37)</f>
        <v>2621.8497107999997</v>
      </c>
      <c r="R37" s="47">
        <f>Q37-(Q37*0.04)</f>
        <v>2516.9757223679999</v>
      </c>
      <c r="S37" s="47">
        <f>Q37+(Q37*0.04)</f>
        <v>2726.7236992319995</v>
      </c>
      <c r="T37" s="47">
        <f>R37-(0.06*R37)</f>
        <v>2365.9571790259197</v>
      </c>
      <c r="U37" s="47">
        <f>S37+(0.06*S37)</f>
        <v>2890.3271211859196</v>
      </c>
      <c r="V37" s="48">
        <f>S37+(0.1*S37)</f>
        <v>2999.3960691551993</v>
      </c>
    </row>
    <row r="38" spans="1:22" ht="15" customHeight="1" x14ac:dyDescent="0.35">
      <c r="A38" s="9" t="s">
        <v>123</v>
      </c>
      <c r="B38" s="9" t="s">
        <v>47</v>
      </c>
      <c r="C38" s="9" t="s">
        <v>108</v>
      </c>
      <c r="D38" s="9"/>
      <c r="E38" s="9" t="s">
        <v>48</v>
      </c>
      <c r="F38" s="9">
        <v>40</v>
      </c>
      <c r="G38" s="10" t="s">
        <v>39</v>
      </c>
      <c r="H38" s="10" t="s">
        <v>49</v>
      </c>
      <c r="I38" s="11">
        <v>1014</v>
      </c>
      <c r="J38" s="11">
        <f t="shared" ref="J38:J43" si="4">I38*K38</f>
        <v>10140</v>
      </c>
      <c r="K38" s="24">
        <v>10</v>
      </c>
      <c r="L38" s="12" t="s">
        <v>33</v>
      </c>
      <c r="M38" s="12" t="s">
        <v>50</v>
      </c>
      <c r="O38" s="13">
        <f t="shared" si="1"/>
        <v>405.6</v>
      </c>
      <c r="P38" s="13">
        <f t="shared" si="2"/>
        <v>10</v>
      </c>
      <c r="R38" s="14"/>
      <c r="S38" s="15"/>
      <c r="T38" s="15"/>
      <c r="U38" s="15"/>
      <c r="V38" s="16"/>
    </row>
    <row r="39" spans="1:22" ht="15" customHeight="1" x14ac:dyDescent="0.35">
      <c r="A39" s="9" t="s">
        <v>123</v>
      </c>
      <c r="B39" s="9" t="s">
        <v>47</v>
      </c>
      <c r="C39" s="9" t="s">
        <v>108</v>
      </c>
      <c r="D39" s="9"/>
      <c r="E39" s="9" t="s">
        <v>48</v>
      </c>
      <c r="F39" s="9">
        <v>40</v>
      </c>
      <c r="G39" s="10" t="s">
        <v>31</v>
      </c>
      <c r="H39" s="10" t="s">
        <v>26</v>
      </c>
      <c r="I39" s="11">
        <v>1014</v>
      </c>
      <c r="J39" s="11">
        <f t="shared" si="4"/>
        <v>10140</v>
      </c>
      <c r="K39" s="24">
        <v>10</v>
      </c>
      <c r="L39" s="12" t="s">
        <v>33</v>
      </c>
      <c r="M39" s="12" t="s">
        <v>50</v>
      </c>
      <c r="O39" s="13">
        <f t="shared" si="1"/>
        <v>405.6</v>
      </c>
      <c r="P39" s="13">
        <f t="shared" si="2"/>
        <v>10</v>
      </c>
      <c r="R39" s="14"/>
      <c r="S39" s="15"/>
      <c r="T39" s="15"/>
      <c r="U39" s="15"/>
      <c r="V39" s="16"/>
    </row>
    <row r="40" spans="1:22" ht="15" customHeight="1" x14ac:dyDescent="0.35">
      <c r="A40" s="9" t="s">
        <v>123</v>
      </c>
      <c r="B40" s="9" t="s">
        <v>47</v>
      </c>
      <c r="C40" s="9" t="s">
        <v>108</v>
      </c>
      <c r="D40" s="9"/>
      <c r="E40" s="9" t="s">
        <v>48</v>
      </c>
      <c r="F40" s="9">
        <v>40</v>
      </c>
      <c r="G40" s="10" t="s">
        <v>51</v>
      </c>
      <c r="H40" s="10" t="s">
        <v>52</v>
      </c>
      <c r="I40" s="11">
        <v>1014</v>
      </c>
      <c r="J40" s="11">
        <f t="shared" si="4"/>
        <v>1014</v>
      </c>
      <c r="K40" s="24">
        <v>1</v>
      </c>
      <c r="L40" s="12" t="s">
        <v>33</v>
      </c>
      <c r="M40" s="12" t="s">
        <v>50</v>
      </c>
      <c r="O40" s="13">
        <f t="shared" si="1"/>
        <v>40.56</v>
      </c>
      <c r="P40" s="13">
        <f t="shared" si="2"/>
        <v>1</v>
      </c>
      <c r="R40" s="14"/>
      <c r="S40" s="15"/>
      <c r="T40" s="15"/>
      <c r="U40" s="15"/>
      <c r="V40" s="16"/>
    </row>
    <row r="41" spans="1:22" ht="15" customHeight="1" x14ac:dyDescent="0.35">
      <c r="A41" s="9" t="s">
        <v>123</v>
      </c>
      <c r="B41" s="9" t="s">
        <v>47</v>
      </c>
      <c r="C41" s="9" t="s">
        <v>108</v>
      </c>
      <c r="D41" s="9"/>
      <c r="E41" s="9" t="s">
        <v>48</v>
      </c>
      <c r="F41" s="9">
        <v>40</v>
      </c>
      <c r="G41" s="10" t="s">
        <v>31</v>
      </c>
      <c r="H41" s="10" t="s">
        <v>53</v>
      </c>
      <c r="I41" s="11">
        <v>1014</v>
      </c>
      <c r="J41" s="11">
        <f t="shared" si="4"/>
        <v>10140</v>
      </c>
      <c r="K41" s="24">
        <v>10</v>
      </c>
      <c r="L41" s="12" t="s">
        <v>33</v>
      </c>
      <c r="M41" s="12" t="s">
        <v>50</v>
      </c>
      <c r="O41" s="13">
        <f t="shared" si="1"/>
        <v>405.6</v>
      </c>
      <c r="P41" s="13">
        <f t="shared" si="2"/>
        <v>10</v>
      </c>
      <c r="R41" s="14"/>
      <c r="S41" s="15"/>
      <c r="T41" s="15"/>
      <c r="U41" s="15"/>
      <c r="V41" s="16"/>
    </row>
    <row r="42" spans="1:22" ht="15" customHeight="1" x14ac:dyDescent="0.35">
      <c r="A42" s="9" t="s">
        <v>123</v>
      </c>
      <c r="B42" s="9" t="s">
        <v>47</v>
      </c>
      <c r="C42" s="9" t="s">
        <v>108</v>
      </c>
      <c r="D42" s="9"/>
      <c r="E42" s="9" t="s">
        <v>48</v>
      </c>
      <c r="F42" s="9">
        <v>40</v>
      </c>
      <c r="G42" s="10" t="s">
        <v>54</v>
      </c>
      <c r="H42" s="10" t="s">
        <v>55</v>
      </c>
      <c r="I42" s="11">
        <v>1014</v>
      </c>
      <c r="J42" s="11">
        <f t="shared" si="4"/>
        <v>10140</v>
      </c>
      <c r="K42" s="24">
        <v>10</v>
      </c>
      <c r="L42" s="12" t="s">
        <v>27</v>
      </c>
      <c r="M42" s="12" t="s">
        <v>50</v>
      </c>
      <c r="O42" s="13">
        <f t="shared" si="1"/>
        <v>405.6</v>
      </c>
      <c r="P42" s="13">
        <f t="shared" si="2"/>
        <v>10</v>
      </c>
      <c r="R42" s="14"/>
      <c r="S42" s="15"/>
      <c r="T42" s="15"/>
      <c r="U42" s="15"/>
      <c r="V42" s="16"/>
    </row>
    <row r="43" spans="1:22" ht="15" customHeight="1" x14ac:dyDescent="0.35">
      <c r="A43" s="9" t="s">
        <v>123</v>
      </c>
      <c r="B43" s="9" t="s">
        <v>47</v>
      </c>
      <c r="C43" s="9" t="s">
        <v>108</v>
      </c>
      <c r="D43" s="9"/>
      <c r="E43" s="9" t="s">
        <v>48</v>
      </c>
      <c r="F43" s="9">
        <v>40</v>
      </c>
      <c r="G43" s="10" t="s">
        <v>54</v>
      </c>
      <c r="H43" s="10" t="s">
        <v>56</v>
      </c>
      <c r="I43" s="11">
        <v>1014</v>
      </c>
      <c r="J43" s="11">
        <f t="shared" si="4"/>
        <v>5070</v>
      </c>
      <c r="K43" s="24">
        <v>5</v>
      </c>
      <c r="L43" s="12" t="s">
        <v>27</v>
      </c>
      <c r="M43" s="12" t="s">
        <v>50</v>
      </c>
      <c r="O43" s="13">
        <f t="shared" ref="O43:O78" si="5">(F43*J43)/1000</f>
        <v>202.8</v>
      </c>
      <c r="P43" s="13">
        <f t="shared" ref="P43:P78" si="6">K43</f>
        <v>5</v>
      </c>
      <c r="R43" s="14"/>
      <c r="S43" s="15"/>
      <c r="T43" s="15"/>
      <c r="U43" s="15"/>
      <c r="V43" s="16"/>
    </row>
    <row r="44" spans="1:22" ht="15" customHeight="1" x14ac:dyDescent="0.35">
      <c r="A44" s="9" t="s">
        <v>124</v>
      </c>
      <c r="B44" s="9" t="s">
        <v>90</v>
      </c>
      <c r="C44" s="9" t="s">
        <v>108</v>
      </c>
      <c r="D44" s="9"/>
      <c r="E44" s="9" t="s">
        <v>91</v>
      </c>
      <c r="F44" s="18">
        <v>314.1823999999998</v>
      </c>
      <c r="G44" s="10"/>
      <c r="H44" s="10"/>
      <c r="I44" s="31"/>
      <c r="J44" s="11">
        <v>810</v>
      </c>
      <c r="K44" s="24"/>
      <c r="L44" s="12"/>
      <c r="M44" s="12" t="s">
        <v>92</v>
      </c>
      <c r="O44" s="13">
        <f t="shared" si="5"/>
        <v>254.48774399999982</v>
      </c>
      <c r="P44" s="13">
        <f t="shared" si="6"/>
        <v>0</v>
      </c>
      <c r="R44" s="14"/>
      <c r="S44" s="15"/>
      <c r="T44" s="15"/>
      <c r="U44" s="15"/>
      <c r="V44" s="16"/>
    </row>
    <row r="45" spans="1:22" ht="15" customHeight="1" x14ac:dyDescent="0.35">
      <c r="A45" s="9" t="s">
        <v>125</v>
      </c>
      <c r="B45" s="9" t="s">
        <v>93</v>
      </c>
      <c r="C45" s="9" t="s">
        <v>110</v>
      </c>
      <c r="D45" s="9"/>
      <c r="E45" s="9" t="s">
        <v>94</v>
      </c>
      <c r="F45" s="18">
        <v>35.064999999999998</v>
      </c>
      <c r="G45" s="10"/>
      <c r="H45" s="10"/>
      <c r="I45" s="33"/>
      <c r="J45" s="11">
        <v>10000</v>
      </c>
      <c r="K45" s="24"/>
      <c r="L45" s="12"/>
      <c r="M45" s="12" t="s">
        <v>95</v>
      </c>
      <c r="O45" s="13">
        <f t="shared" si="5"/>
        <v>350.65</v>
      </c>
      <c r="P45" s="13">
        <f t="shared" si="6"/>
        <v>0</v>
      </c>
      <c r="R45" s="14"/>
      <c r="S45" s="15"/>
      <c r="T45" s="15"/>
      <c r="U45" s="15"/>
      <c r="V45" s="16"/>
    </row>
    <row r="46" spans="1:22" ht="15" customHeight="1" thickBot="1" x14ac:dyDescent="0.4">
      <c r="A46" s="9" t="s">
        <v>125</v>
      </c>
      <c r="B46" s="9" t="s">
        <v>93</v>
      </c>
      <c r="C46" s="9" t="s">
        <v>110</v>
      </c>
      <c r="D46" s="9"/>
      <c r="E46" s="9" t="s">
        <v>96</v>
      </c>
      <c r="F46" s="18">
        <v>490.90999999999997</v>
      </c>
      <c r="G46" s="10"/>
      <c r="H46" s="10"/>
      <c r="I46" s="33"/>
      <c r="J46" s="11">
        <v>300</v>
      </c>
      <c r="K46" s="24"/>
      <c r="L46" s="12"/>
      <c r="M46" s="12" t="s">
        <v>97</v>
      </c>
      <c r="O46" s="13">
        <f t="shared" si="5"/>
        <v>147.273</v>
      </c>
      <c r="P46" s="13">
        <f t="shared" si="6"/>
        <v>0</v>
      </c>
      <c r="R46" s="14"/>
      <c r="S46" s="15"/>
      <c r="T46" s="15"/>
      <c r="U46" s="15"/>
      <c r="V46" s="16"/>
    </row>
    <row r="47" spans="1:22" s="49" customFormat="1" ht="15" customHeight="1" thickBot="1" x14ac:dyDescent="0.4">
      <c r="A47" s="35">
        <v>7</v>
      </c>
      <c r="B47" s="36"/>
      <c r="C47" s="37"/>
      <c r="D47" s="38"/>
      <c r="E47" s="38"/>
      <c r="F47" s="39"/>
      <c r="G47" s="40"/>
      <c r="H47" s="40"/>
      <c r="I47" s="41"/>
      <c r="J47" s="42"/>
      <c r="K47" s="38">
        <f>SUM(K38:K46)</f>
        <v>46</v>
      </c>
      <c r="L47" s="43"/>
      <c r="M47" s="44"/>
      <c r="N47" s="36" t="str">
        <f>IFERROR(VLOOKUP(A47,[1]WHouse!$B$4:$G$18,6,0),"")</f>
        <v/>
      </c>
      <c r="O47" s="46">
        <f>SUM(O38:O46)</f>
        <v>2618.170744</v>
      </c>
      <c r="P47" s="46">
        <f>SUM(P38:P46)</f>
        <v>46</v>
      </c>
      <c r="Q47" s="45">
        <f>SUM(O47:P47)</f>
        <v>2664.170744</v>
      </c>
      <c r="R47" s="47">
        <f>Q47-(Q47*0.04)</f>
        <v>2557.60391424</v>
      </c>
      <c r="S47" s="47">
        <f>Q47+(Q47*0.04)</f>
        <v>2770.73757376</v>
      </c>
      <c r="T47" s="47">
        <f>R47-(0.06*R47)</f>
        <v>2404.1476793856</v>
      </c>
      <c r="U47" s="47">
        <f>S47+(0.06*S47)</f>
        <v>2936.9818281856001</v>
      </c>
      <c r="V47" s="48">
        <f>S47+(0.1*S47)</f>
        <v>3047.8113311360003</v>
      </c>
    </row>
    <row r="48" spans="1:22" ht="15" customHeight="1" x14ac:dyDescent="0.35">
      <c r="A48" s="9" t="s">
        <v>126</v>
      </c>
      <c r="B48" s="9" t="s">
        <v>75</v>
      </c>
      <c r="C48" s="9" t="s">
        <v>107</v>
      </c>
      <c r="D48" s="9"/>
      <c r="E48" s="9" t="s">
        <v>58</v>
      </c>
      <c r="F48" s="9">
        <v>38</v>
      </c>
      <c r="G48" s="10" t="s">
        <v>54</v>
      </c>
      <c r="H48" s="10" t="s">
        <v>67</v>
      </c>
      <c r="I48" s="11">
        <v>980</v>
      </c>
      <c r="J48" s="11">
        <f t="shared" ref="J48:J76" si="7">I48*K48</f>
        <v>19600</v>
      </c>
      <c r="K48" s="21">
        <v>20</v>
      </c>
      <c r="L48" s="12" t="s">
        <v>33</v>
      </c>
      <c r="M48" s="12" t="s">
        <v>28</v>
      </c>
      <c r="O48" s="13">
        <f t="shared" si="5"/>
        <v>744.8</v>
      </c>
      <c r="P48" s="13">
        <f t="shared" si="6"/>
        <v>20</v>
      </c>
      <c r="R48" s="14"/>
      <c r="S48" s="15"/>
      <c r="T48" s="15"/>
      <c r="U48" s="15"/>
      <c r="V48" s="16"/>
    </row>
    <row r="49" spans="1:22" ht="15" customHeight="1" x14ac:dyDescent="0.35">
      <c r="A49" s="9" t="s">
        <v>126</v>
      </c>
      <c r="B49" s="9" t="s">
        <v>75</v>
      </c>
      <c r="C49" s="9" t="s">
        <v>107</v>
      </c>
      <c r="D49" s="9"/>
      <c r="E49" s="9" t="s">
        <v>58</v>
      </c>
      <c r="F49" s="9">
        <v>38</v>
      </c>
      <c r="G49" s="10" t="s">
        <v>29</v>
      </c>
      <c r="H49" s="10" t="s">
        <v>35</v>
      </c>
      <c r="I49" s="11">
        <v>980</v>
      </c>
      <c r="J49" s="11">
        <f t="shared" si="7"/>
        <v>19600</v>
      </c>
      <c r="K49" s="21">
        <v>20</v>
      </c>
      <c r="L49" s="12" t="s">
        <v>27</v>
      </c>
      <c r="M49" s="12" t="s">
        <v>28</v>
      </c>
      <c r="O49" s="13">
        <f t="shared" si="5"/>
        <v>744.8</v>
      </c>
      <c r="P49" s="13">
        <f t="shared" si="6"/>
        <v>20</v>
      </c>
      <c r="R49" s="14"/>
      <c r="S49" s="15"/>
      <c r="T49" s="15"/>
      <c r="U49" s="15"/>
      <c r="V49" s="16"/>
    </row>
    <row r="50" spans="1:22" ht="15" customHeight="1" x14ac:dyDescent="0.35">
      <c r="A50" s="9" t="s">
        <v>126</v>
      </c>
      <c r="B50" s="9" t="s">
        <v>75</v>
      </c>
      <c r="C50" s="9" t="s">
        <v>107</v>
      </c>
      <c r="D50" s="9"/>
      <c r="E50" s="9" t="s">
        <v>58</v>
      </c>
      <c r="F50" s="9">
        <v>38</v>
      </c>
      <c r="G50" s="10" t="s">
        <v>63</v>
      </c>
      <c r="H50" s="10" t="s">
        <v>35</v>
      </c>
      <c r="I50" s="11">
        <v>980</v>
      </c>
      <c r="J50" s="11">
        <f t="shared" si="7"/>
        <v>19600</v>
      </c>
      <c r="K50" s="21">
        <v>20</v>
      </c>
      <c r="L50" s="12" t="s">
        <v>27</v>
      </c>
      <c r="M50" s="12" t="s">
        <v>28</v>
      </c>
      <c r="O50" s="13">
        <f t="shared" si="5"/>
        <v>744.8</v>
      </c>
      <c r="P50" s="13">
        <f t="shared" si="6"/>
        <v>20</v>
      </c>
      <c r="Q50" s="34"/>
      <c r="R50" s="14"/>
      <c r="S50" s="15"/>
      <c r="T50" s="15"/>
      <c r="U50" s="15"/>
      <c r="V50" s="16"/>
    </row>
    <row r="51" spans="1:22" ht="15" customHeight="1" x14ac:dyDescent="0.35">
      <c r="A51" s="9" t="s">
        <v>126</v>
      </c>
      <c r="B51" s="9" t="s">
        <v>75</v>
      </c>
      <c r="C51" s="9" t="s">
        <v>107</v>
      </c>
      <c r="D51" s="9"/>
      <c r="E51" s="9" t="s">
        <v>58</v>
      </c>
      <c r="F51" s="9">
        <v>38</v>
      </c>
      <c r="G51" s="10" t="s">
        <v>41</v>
      </c>
      <c r="H51" s="10" t="s">
        <v>35</v>
      </c>
      <c r="I51" s="11">
        <v>980</v>
      </c>
      <c r="J51" s="11">
        <f t="shared" si="7"/>
        <v>19600</v>
      </c>
      <c r="K51" s="21">
        <v>20</v>
      </c>
      <c r="L51" s="12" t="s">
        <v>27</v>
      </c>
      <c r="M51" s="12" t="s">
        <v>28</v>
      </c>
      <c r="O51" s="13">
        <f t="shared" si="5"/>
        <v>744.8</v>
      </c>
      <c r="P51" s="13">
        <f t="shared" si="6"/>
        <v>20</v>
      </c>
      <c r="R51" s="14"/>
      <c r="S51" s="15"/>
      <c r="T51" s="15"/>
      <c r="U51" s="15"/>
      <c r="V51" s="16"/>
    </row>
    <row r="52" spans="1:22" ht="15" customHeight="1" thickBot="1" x14ac:dyDescent="0.4">
      <c r="A52" s="9" t="s">
        <v>126</v>
      </c>
      <c r="B52" s="9" t="s">
        <v>75</v>
      </c>
      <c r="C52" s="9" t="s">
        <v>107</v>
      </c>
      <c r="D52" s="9"/>
      <c r="E52" s="9" t="s">
        <v>58</v>
      </c>
      <c r="F52" s="9">
        <v>62</v>
      </c>
      <c r="G52" s="10" t="s">
        <v>37</v>
      </c>
      <c r="H52" s="10" t="s">
        <v>35</v>
      </c>
      <c r="I52" s="11">
        <v>980</v>
      </c>
      <c r="J52" s="11">
        <f t="shared" si="7"/>
        <v>9800</v>
      </c>
      <c r="K52" s="21">
        <v>10</v>
      </c>
      <c r="L52" s="12" t="s">
        <v>27</v>
      </c>
      <c r="M52" s="12" t="s">
        <v>28</v>
      </c>
      <c r="O52" s="13">
        <f t="shared" si="5"/>
        <v>607.6</v>
      </c>
      <c r="P52" s="13">
        <f t="shared" si="6"/>
        <v>10</v>
      </c>
      <c r="R52" s="14"/>
      <c r="S52" s="15"/>
      <c r="T52" s="15"/>
      <c r="U52" s="15"/>
      <c r="V52" s="16"/>
    </row>
    <row r="53" spans="1:22" s="49" customFormat="1" ht="15" customHeight="1" thickBot="1" x14ac:dyDescent="0.4">
      <c r="A53" s="35">
        <v>8</v>
      </c>
      <c r="B53" s="36"/>
      <c r="C53" s="37"/>
      <c r="D53" s="38"/>
      <c r="E53" s="38"/>
      <c r="F53" s="39"/>
      <c r="G53" s="40"/>
      <c r="H53" s="40"/>
      <c r="I53" s="41"/>
      <c r="J53" s="42"/>
      <c r="K53" s="38">
        <f>SUM(K48:K52)</f>
        <v>90</v>
      </c>
      <c r="L53" s="43"/>
      <c r="M53" s="44"/>
      <c r="N53" s="36" t="str">
        <f>IFERROR(VLOOKUP(A53,[1]WHouse!$B$4:$G$18,6,0),"")</f>
        <v/>
      </c>
      <c r="O53" s="46">
        <f>SUM(O48:O52)</f>
        <v>3586.7999999999997</v>
      </c>
      <c r="P53" s="46">
        <f>SUM(P48:P52)</f>
        <v>90</v>
      </c>
      <c r="Q53" s="45">
        <f>SUM(O53:P53)</f>
        <v>3676.7999999999997</v>
      </c>
      <c r="R53" s="47">
        <f>Q53-(Q53*0.04)</f>
        <v>3529.7279999999996</v>
      </c>
      <c r="S53" s="47">
        <f>Q53+(Q53*0.04)</f>
        <v>3823.8719999999998</v>
      </c>
      <c r="T53" s="47">
        <f>R53-(0.06*R53)</f>
        <v>3317.9443199999996</v>
      </c>
      <c r="U53" s="47">
        <f>S53+(0.06*S53)</f>
        <v>4053.3043199999997</v>
      </c>
      <c r="V53" s="48">
        <f>S53+(0.1*S53)</f>
        <v>4206.2591999999995</v>
      </c>
    </row>
    <row r="54" spans="1:22" ht="15" customHeight="1" x14ac:dyDescent="0.35">
      <c r="A54" s="9" t="s">
        <v>127</v>
      </c>
      <c r="B54" s="9" t="s">
        <v>62</v>
      </c>
      <c r="C54" s="9" t="s">
        <v>109</v>
      </c>
      <c r="D54" s="9"/>
      <c r="E54" s="9" t="s">
        <v>58</v>
      </c>
      <c r="F54" s="9">
        <v>40</v>
      </c>
      <c r="G54" s="10" t="s">
        <v>34</v>
      </c>
      <c r="H54" s="10" t="s">
        <v>35</v>
      </c>
      <c r="I54" s="11">
        <v>980</v>
      </c>
      <c r="J54" s="11">
        <f t="shared" si="7"/>
        <v>11760</v>
      </c>
      <c r="K54" s="28">
        <v>12</v>
      </c>
      <c r="L54" s="12" t="s">
        <v>27</v>
      </c>
      <c r="M54" s="12" t="s">
        <v>28</v>
      </c>
      <c r="O54" s="13">
        <f t="shared" si="5"/>
        <v>470.4</v>
      </c>
      <c r="P54" s="13">
        <f t="shared" si="6"/>
        <v>12</v>
      </c>
      <c r="R54" s="14"/>
      <c r="S54" s="15"/>
      <c r="T54" s="15"/>
      <c r="U54" s="15"/>
      <c r="V54" s="16"/>
    </row>
    <row r="55" spans="1:22" ht="15" customHeight="1" x14ac:dyDescent="0.35">
      <c r="A55" s="9" t="s">
        <v>127</v>
      </c>
      <c r="B55" s="9" t="s">
        <v>62</v>
      </c>
      <c r="C55" s="9" t="s">
        <v>109</v>
      </c>
      <c r="D55" s="9"/>
      <c r="E55" s="9" t="s">
        <v>58</v>
      </c>
      <c r="F55" s="9">
        <v>40</v>
      </c>
      <c r="G55" s="10" t="s">
        <v>31</v>
      </c>
      <c r="H55" s="10" t="s">
        <v>69</v>
      </c>
      <c r="I55" s="11">
        <v>980</v>
      </c>
      <c r="J55" s="11">
        <f t="shared" si="7"/>
        <v>4900</v>
      </c>
      <c r="K55" s="28">
        <v>5</v>
      </c>
      <c r="L55" s="12" t="s">
        <v>27</v>
      </c>
      <c r="M55" s="12" t="s">
        <v>28</v>
      </c>
      <c r="O55" s="13">
        <f t="shared" si="5"/>
        <v>196</v>
      </c>
      <c r="P55" s="13">
        <f t="shared" si="6"/>
        <v>5</v>
      </c>
      <c r="R55" s="14"/>
      <c r="S55" s="15"/>
      <c r="T55" s="15"/>
      <c r="U55" s="15"/>
      <c r="V55" s="16"/>
    </row>
    <row r="56" spans="1:22" ht="15" customHeight="1" x14ac:dyDescent="0.35">
      <c r="A56" s="9" t="s">
        <v>127</v>
      </c>
      <c r="B56" s="9" t="s">
        <v>62</v>
      </c>
      <c r="C56" s="9" t="s">
        <v>109</v>
      </c>
      <c r="D56" s="9"/>
      <c r="E56" s="9" t="s">
        <v>58</v>
      </c>
      <c r="F56" s="9">
        <v>42</v>
      </c>
      <c r="G56" s="10" t="s">
        <v>63</v>
      </c>
      <c r="H56" s="10" t="s">
        <v>70</v>
      </c>
      <c r="I56" s="11">
        <v>980</v>
      </c>
      <c r="J56" s="11">
        <f t="shared" si="7"/>
        <v>4900</v>
      </c>
      <c r="K56" s="28">
        <v>5</v>
      </c>
      <c r="L56" s="12" t="s">
        <v>27</v>
      </c>
      <c r="M56" s="12" t="s">
        <v>28</v>
      </c>
      <c r="O56" s="13">
        <f t="shared" si="5"/>
        <v>205.8</v>
      </c>
      <c r="P56" s="13">
        <f t="shared" si="6"/>
        <v>5</v>
      </c>
      <c r="R56" s="14"/>
      <c r="S56" s="15"/>
      <c r="T56" s="15"/>
      <c r="U56" s="15"/>
      <c r="V56" s="16"/>
    </row>
    <row r="57" spans="1:22" ht="15" customHeight="1" x14ac:dyDescent="0.35">
      <c r="A57" s="9" t="s">
        <v>127</v>
      </c>
      <c r="B57" s="9" t="s">
        <v>62</v>
      </c>
      <c r="C57" s="9" t="s">
        <v>109</v>
      </c>
      <c r="D57" s="9"/>
      <c r="E57" s="9" t="s">
        <v>58</v>
      </c>
      <c r="F57" s="9">
        <v>40</v>
      </c>
      <c r="G57" s="10" t="s">
        <v>45</v>
      </c>
      <c r="H57" s="10" t="s">
        <v>35</v>
      </c>
      <c r="I57" s="11">
        <v>980</v>
      </c>
      <c r="J57" s="11">
        <f t="shared" si="7"/>
        <v>11760</v>
      </c>
      <c r="K57" s="28">
        <v>12</v>
      </c>
      <c r="L57" s="12" t="s">
        <v>27</v>
      </c>
      <c r="M57" s="12" t="s">
        <v>28</v>
      </c>
      <c r="O57" s="13">
        <f t="shared" si="5"/>
        <v>470.4</v>
      </c>
      <c r="P57" s="13">
        <f t="shared" si="6"/>
        <v>12</v>
      </c>
      <c r="R57" s="14"/>
      <c r="S57" s="15"/>
      <c r="T57" s="15"/>
      <c r="U57" s="15"/>
      <c r="V57" s="16"/>
    </row>
    <row r="58" spans="1:22" ht="15" customHeight="1" x14ac:dyDescent="0.35">
      <c r="A58" s="9" t="s">
        <v>127</v>
      </c>
      <c r="B58" s="9" t="s">
        <v>62</v>
      </c>
      <c r="C58" s="9" t="s">
        <v>109</v>
      </c>
      <c r="D58" s="9"/>
      <c r="E58" s="9" t="s">
        <v>58</v>
      </c>
      <c r="F58" s="9">
        <v>40</v>
      </c>
      <c r="G58" s="10" t="s">
        <v>41</v>
      </c>
      <c r="H58" s="10" t="s">
        <v>65</v>
      </c>
      <c r="I58" s="11">
        <v>980</v>
      </c>
      <c r="J58" s="11">
        <f t="shared" si="7"/>
        <v>11760</v>
      </c>
      <c r="K58" s="28">
        <v>12</v>
      </c>
      <c r="L58" s="12" t="s">
        <v>27</v>
      </c>
      <c r="M58" s="12" t="s">
        <v>28</v>
      </c>
      <c r="O58" s="13">
        <f t="shared" si="5"/>
        <v>470.4</v>
      </c>
      <c r="P58" s="13">
        <f t="shared" si="6"/>
        <v>12</v>
      </c>
      <c r="R58" s="14"/>
      <c r="S58" s="15"/>
      <c r="T58" s="15"/>
      <c r="U58" s="15"/>
      <c r="V58" s="16"/>
    </row>
    <row r="59" spans="1:22" ht="15" customHeight="1" x14ac:dyDescent="0.35">
      <c r="A59" s="9" t="s">
        <v>127</v>
      </c>
      <c r="B59" s="9" t="s">
        <v>62</v>
      </c>
      <c r="C59" s="9" t="s">
        <v>109</v>
      </c>
      <c r="D59" s="9"/>
      <c r="E59" s="9" t="s">
        <v>24</v>
      </c>
      <c r="F59" s="9">
        <v>28</v>
      </c>
      <c r="G59" s="10" t="s">
        <v>54</v>
      </c>
      <c r="H59" s="10" t="s">
        <v>32</v>
      </c>
      <c r="I59" s="11">
        <v>1224</v>
      </c>
      <c r="J59" s="11">
        <f t="shared" si="7"/>
        <v>6120</v>
      </c>
      <c r="K59" s="28">
        <v>5</v>
      </c>
      <c r="L59" s="12" t="s">
        <v>33</v>
      </c>
      <c r="M59" s="12" t="s">
        <v>50</v>
      </c>
      <c r="O59" s="13">
        <f t="shared" si="5"/>
        <v>171.36</v>
      </c>
      <c r="P59" s="13">
        <f t="shared" si="6"/>
        <v>5</v>
      </c>
      <c r="R59" s="14"/>
      <c r="S59" s="15"/>
      <c r="T59" s="15"/>
      <c r="U59" s="15"/>
      <c r="V59" s="16"/>
    </row>
    <row r="60" spans="1:22" ht="15" customHeight="1" x14ac:dyDescent="0.35">
      <c r="A60" s="9" t="s">
        <v>127</v>
      </c>
      <c r="B60" s="9" t="s">
        <v>62</v>
      </c>
      <c r="C60" s="9" t="s">
        <v>109</v>
      </c>
      <c r="D60" s="9"/>
      <c r="E60" s="9" t="s">
        <v>24</v>
      </c>
      <c r="F60" s="9">
        <v>28</v>
      </c>
      <c r="G60" s="10" t="s">
        <v>25</v>
      </c>
      <c r="H60" s="10" t="s">
        <v>71</v>
      </c>
      <c r="I60" s="11">
        <v>1224</v>
      </c>
      <c r="J60" s="11">
        <f t="shared" si="7"/>
        <v>6120</v>
      </c>
      <c r="K60" s="28">
        <v>5</v>
      </c>
      <c r="L60" s="12" t="s">
        <v>33</v>
      </c>
      <c r="M60" s="12" t="s">
        <v>50</v>
      </c>
      <c r="O60" s="13">
        <f t="shared" si="5"/>
        <v>171.36</v>
      </c>
      <c r="P60" s="13">
        <f t="shared" si="6"/>
        <v>5</v>
      </c>
      <c r="R60" s="14"/>
      <c r="S60" s="15"/>
      <c r="T60" s="15"/>
      <c r="U60" s="15"/>
      <c r="V60" s="16"/>
    </row>
    <row r="61" spans="1:22" ht="15" customHeight="1" x14ac:dyDescent="0.35">
      <c r="A61" s="9" t="s">
        <v>127</v>
      </c>
      <c r="B61" s="9" t="s">
        <v>62</v>
      </c>
      <c r="C61" s="9" t="s">
        <v>109</v>
      </c>
      <c r="D61" s="9"/>
      <c r="E61" s="9" t="s">
        <v>24</v>
      </c>
      <c r="F61" s="9">
        <v>28</v>
      </c>
      <c r="G61" s="10" t="s">
        <v>54</v>
      </c>
      <c r="H61" s="10" t="s">
        <v>35</v>
      </c>
      <c r="I61" s="11">
        <v>1224</v>
      </c>
      <c r="J61" s="11">
        <f t="shared" si="7"/>
        <v>6120</v>
      </c>
      <c r="K61" s="28">
        <v>5</v>
      </c>
      <c r="L61" s="12" t="s">
        <v>33</v>
      </c>
      <c r="M61" s="12" t="s">
        <v>50</v>
      </c>
      <c r="O61" s="13">
        <f t="shared" si="5"/>
        <v>171.36</v>
      </c>
      <c r="P61" s="13">
        <f t="shared" si="6"/>
        <v>5</v>
      </c>
      <c r="R61" s="14"/>
      <c r="S61" s="15"/>
      <c r="T61" s="15"/>
      <c r="U61" s="15"/>
      <c r="V61" s="16"/>
    </row>
    <row r="62" spans="1:22" ht="15" customHeight="1" x14ac:dyDescent="0.35">
      <c r="A62" s="9" t="s">
        <v>127</v>
      </c>
      <c r="B62" s="9" t="s">
        <v>62</v>
      </c>
      <c r="C62" s="9" t="s">
        <v>109</v>
      </c>
      <c r="D62" s="9"/>
      <c r="E62" s="9" t="s">
        <v>24</v>
      </c>
      <c r="F62" s="9">
        <v>28</v>
      </c>
      <c r="G62" s="10" t="s">
        <v>31</v>
      </c>
      <c r="H62" s="10" t="s">
        <v>53</v>
      </c>
      <c r="I62" s="11">
        <v>1224</v>
      </c>
      <c r="J62" s="11">
        <f t="shared" si="7"/>
        <v>18360</v>
      </c>
      <c r="K62" s="28">
        <v>15</v>
      </c>
      <c r="L62" s="12" t="s">
        <v>27</v>
      </c>
      <c r="M62" s="12" t="s">
        <v>50</v>
      </c>
      <c r="O62" s="13">
        <f t="shared" si="5"/>
        <v>514.08000000000004</v>
      </c>
      <c r="P62" s="13">
        <f t="shared" si="6"/>
        <v>15</v>
      </c>
      <c r="R62" s="14"/>
      <c r="S62" s="15"/>
      <c r="T62" s="15"/>
      <c r="U62" s="15"/>
      <c r="V62" s="16"/>
    </row>
    <row r="63" spans="1:22" ht="15" customHeight="1" thickBot="1" x14ac:dyDescent="0.4">
      <c r="A63" s="9" t="s">
        <v>127</v>
      </c>
      <c r="B63" s="9" t="s">
        <v>62</v>
      </c>
      <c r="C63" s="9" t="s">
        <v>109</v>
      </c>
      <c r="D63" s="9"/>
      <c r="E63" s="9" t="s">
        <v>60</v>
      </c>
      <c r="F63" s="9">
        <v>62</v>
      </c>
      <c r="G63" s="10" t="s">
        <v>46</v>
      </c>
      <c r="H63" s="10" t="s">
        <v>35</v>
      </c>
      <c r="I63" s="11">
        <v>410</v>
      </c>
      <c r="J63" s="11">
        <f t="shared" si="7"/>
        <v>5740</v>
      </c>
      <c r="K63" s="28">
        <v>14</v>
      </c>
      <c r="L63" s="12" t="s">
        <v>33</v>
      </c>
      <c r="M63" s="12" t="s">
        <v>50</v>
      </c>
      <c r="O63" s="13">
        <f t="shared" si="5"/>
        <v>355.88</v>
      </c>
      <c r="P63" s="13">
        <f t="shared" si="6"/>
        <v>14</v>
      </c>
      <c r="R63" s="14"/>
      <c r="S63" s="15"/>
      <c r="T63" s="15"/>
      <c r="U63" s="15"/>
      <c r="V63" s="16"/>
    </row>
    <row r="64" spans="1:22" s="49" customFormat="1" ht="15" customHeight="1" thickBot="1" x14ac:dyDescent="0.4">
      <c r="A64" s="35">
        <v>8</v>
      </c>
      <c r="B64" s="36"/>
      <c r="C64" s="37"/>
      <c r="D64" s="38"/>
      <c r="E64" s="38"/>
      <c r="F64" s="39"/>
      <c r="G64" s="40"/>
      <c r="H64" s="40"/>
      <c r="I64" s="41"/>
      <c r="J64" s="42"/>
      <c r="K64" s="38">
        <f>SUM(K54:K63)</f>
        <v>90</v>
      </c>
      <c r="L64" s="43"/>
      <c r="M64" s="44"/>
      <c r="N64" s="36" t="str">
        <f>IFERROR(VLOOKUP(A64,[1]WHouse!$B$4:$G$18,6,0),"")</f>
        <v/>
      </c>
      <c r="O64" s="46">
        <f>SUM(O54:O63)</f>
        <v>3197.0400000000004</v>
      </c>
      <c r="P64" s="46">
        <f>SUM(P54:P63)</f>
        <v>90</v>
      </c>
      <c r="Q64" s="45">
        <f>SUM(O64:P64)</f>
        <v>3287.0400000000004</v>
      </c>
      <c r="R64" s="47">
        <f>Q64-(Q64*0.04)</f>
        <v>3155.5584000000003</v>
      </c>
      <c r="S64" s="47">
        <f>Q64+(Q64*0.04)</f>
        <v>3418.5216000000005</v>
      </c>
      <c r="T64" s="47">
        <f>R64-(0.06*R64)</f>
        <v>2966.2248960000002</v>
      </c>
      <c r="U64" s="47">
        <f>S64+(0.06*S64)</f>
        <v>3623.6328960000005</v>
      </c>
      <c r="V64" s="48">
        <f>S64+(0.1*S64)</f>
        <v>3760.3737600000004</v>
      </c>
    </row>
    <row r="65" spans="1:22" ht="15" customHeight="1" x14ac:dyDescent="0.35">
      <c r="A65" s="9" t="s">
        <v>128</v>
      </c>
      <c r="B65" s="30" t="s">
        <v>43</v>
      </c>
      <c r="C65" s="9" t="s">
        <v>107</v>
      </c>
      <c r="D65" s="9"/>
      <c r="E65" s="9" t="s">
        <v>44</v>
      </c>
      <c r="F65" s="9">
        <v>42</v>
      </c>
      <c r="G65" s="10" t="s">
        <v>45</v>
      </c>
      <c r="H65" s="10" t="s">
        <v>35</v>
      </c>
      <c r="I65" s="11">
        <v>931</v>
      </c>
      <c r="J65" s="11">
        <f t="shared" si="7"/>
        <v>9310</v>
      </c>
      <c r="K65" s="26">
        <v>10</v>
      </c>
      <c r="L65" s="12" t="s">
        <v>27</v>
      </c>
      <c r="M65" s="12" t="s">
        <v>28</v>
      </c>
      <c r="O65" s="13">
        <f t="shared" si="5"/>
        <v>391.02</v>
      </c>
      <c r="P65" s="13">
        <f t="shared" si="6"/>
        <v>10</v>
      </c>
      <c r="R65" s="14"/>
      <c r="S65" s="15"/>
      <c r="T65" s="15"/>
      <c r="U65" s="15"/>
      <c r="V65" s="16"/>
    </row>
    <row r="66" spans="1:22" ht="15" customHeight="1" x14ac:dyDescent="0.35">
      <c r="A66" s="9" t="s">
        <v>128</v>
      </c>
      <c r="B66" s="9" t="s">
        <v>43</v>
      </c>
      <c r="C66" s="9" t="s">
        <v>107</v>
      </c>
      <c r="D66" s="9"/>
      <c r="E66" s="9" t="s">
        <v>44</v>
      </c>
      <c r="F66" s="9">
        <v>42</v>
      </c>
      <c r="G66" s="10" t="s">
        <v>46</v>
      </c>
      <c r="H66" s="10" t="s">
        <v>35</v>
      </c>
      <c r="I66" s="11">
        <v>931</v>
      </c>
      <c r="J66" s="11">
        <f t="shared" si="7"/>
        <v>29792</v>
      </c>
      <c r="K66" s="26">
        <v>32</v>
      </c>
      <c r="L66" s="12" t="s">
        <v>27</v>
      </c>
      <c r="M66" s="12" t="s">
        <v>28</v>
      </c>
      <c r="O66" s="13">
        <f t="shared" si="5"/>
        <v>1251.2639999999999</v>
      </c>
      <c r="P66" s="13">
        <f t="shared" si="6"/>
        <v>32</v>
      </c>
      <c r="R66" s="14"/>
      <c r="S66" s="15"/>
      <c r="T66" s="15"/>
      <c r="U66" s="15"/>
      <c r="V66" s="16"/>
    </row>
    <row r="67" spans="1:22" ht="15" customHeight="1" x14ac:dyDescent="0.35">
      <c r="A67" s="9" t="s">
        <v>129</v>
      </c>
      <c r="B67" s="9" t="s">
        <v>57</v>
      </c>
      <c r="C67" s="9" t="s">
        <v>106</v>
      </c>
      <c r="D67" s="9"/>
      <c r="E67" s="9" t="s">
        <v>58</v>
      </c>
      <c r="F67" s="9">
        <v>40</v>
      </c>
      <c r="G67" s="10" t="s">
        <v>34</v>
      </c>
      <c r="H67" s="10" t="s">
        <v>59</v>
      </c>
      <c r="I67" s="11">
        <v>931</v>
      </c>
      <c r="J67" s="11">
        <f t="shared" si="7"/>
        <v>37240</v>
      </c>
      <c r="K67" s="26">
        <v>40</v>
      </c>
      <c r="L67" s="12" t="s">
        <v>27</v>
      </c>
      <c r="M67" s="12" t="s">
        <v>28</v>
      </c>
      <c r="O67" s="13">
        <f t="shared" si="5"/>
        <v>1489.6</v>
      </c>
      <c r="P67" s="13">
        <f t="shared" si="6"/>
        <v>40</v>
      </c>
      <c r="R67" s="14"/>
      <c r="S67" s="15"/>
      <c r="T67" s="15"/>
      <c r="U67" s="15"/>
      <c r="V67" s="16"/>
    </row>
    <row r="68" spans="1:22" ht="15" customHeight="1" thickBot="1" x14ac:dyDescent="0.4">
      <c r="A68" s="9" t="s">
        <v>129</v>
      </c>
      <c r="B68" s="9" t="s">
        <v>57</v>
      </c>
      <c r="C68" s="9" t="s">
        <v>106</v>
      </c>
      <c r="D68" s="9"/>
      <c r="E68" s="9" t="s">
        <v>58</v>
      </c>
      <c r="F68" s="9">
        <v>40</v>
      </c>
      <c r="G68" s="10" t="s">
        <v>37</v>
      </c>
      <c r="H68" s="10" t="s">
        <v>26</v>
      </c>
      <c r="I68" s="11">
        <v>931</v>
      </c>
      <c r="J68" s="11">
        <f t="shared" si="7"/>
        <v>13965</v>
      </c>
      <c r="K68" s="26">
        <v>15</v>
      </c>
      <c r="L68" s="12" t="s">
        <v>27</v>
      </c>
      <c r="M68" s="12" t="s">
        <v>28</v>
      </c>
      <c r="O68" s="13">
        <f t="shared" si="5"/>
        <v>558.6</v>
      </c>
      <c r="P68" s="13">
        <f t="shared" si="6"/>
        <v>15</v>
      </c>
      <c r="R68" s="14"/>
      <c r="S68" s="15"/>
      <c r="T68" s="15"/>
      <c r="U68" s="15"/>
      <c r="V68" s="16"/>
    </row>
    <row r="69" spans="1:22" s="49" customFormat="1" ht="15" customHeight="1" thickBot="1" x14ac:dyDescent="0.4">
      <c r="A69" s="35">
        <v>8</v>
      </c>
      <c r="B69" s="36"/>
      <c r="C69" s="37"/>
      <c r="D69" s="38"/>
      <c r="E69" s="38"/>
      <c r="F69" s="39"/>
      <c r="G69" s="40"/>
      <c r="H69" s="40"/>
      <c r="I69" s="41"/>
      <c r="J69" s="42"/>
      <c r="K69" s="38">
        <f>SUM(K65:K68)</f>
        <v>97</v>
      </c>
      <c r="L69" s="43"/>
      <c r="M69" s="44"/>
      <c r="N69" s="36" t="str">
        <f>IFERROR(VLOOKUP(A69,[1]WHouse!$B$4:$G$18,6,0),"")</f>
        <v/>
      </c>
      <c r="O69" s="46">
        <f>SUM(O65:O68)</f>
        <v>3690.4839999999999</v>
      </c>
      <c r="P69" s="46">
        <f>SUM(P65:P68)</f>
        <v>97</v>
      </c>
      <c r="Q69" s="45">
        <f>SUM(O69:P69)</f>
        <v>3787.4839999999999</v>
      </c>
      <c r="R69" s="47">
        <f>Q69-(Q69*0.04)</f>
        <v>3635.9846400000001</v>
      </c>
      <c r="S69" s="47">
        <f>Q69+(Q69*0.04)</f>
        <v>3938.9833599999997</v>
      </c>
      <c r="T69" s="47">
        <f>R69-(0.06*R69)</f>
        <v>3417.8255616000001</v>
      </c>
      <c r="U69" s="47">
        <f>S69+(0.06*S69)</f>
        <v>4175.3223615999996</v>
      </c>
      <c r="V69" s="48">
        <f>S69+(0.1*S69)</f>
        <v>4332.8816959999995</v>
      </c>
    </row>
    <row r="70" spans="1:22" ht="15" customHeight="1" x14ac:dyDescent="0.35">
      <c r="A70" s="9" t="s">
        <v>130</v>
      </c>
      <c r="B70" s="9" t="s">
        <v>79</v>
      </c>
      <c r="C70" s="9" t="s">
        <v>110</v>
      </c>
      <c r="D70" s="9"/>
      <c r="E70" s="9" t="s">
        <v>58</v>
      </c>
      <c r="F70" s="9">
        <v>42</v>
      </c>
      <c r="G70" s="10" t="s">
        <v>54</v>
      </c>
      <c r="H70" s="10" t="s">
        <v>80</v>
      </c>
      <c r="I70" s="11">
        <v>931</v>
      </c>
      <c r="J70" s="11">
        <f t="shared" si="7"/>
        <v>3724</v>
      </c>
      <c r="K70" s="23">
        <v>4</v>
      </c>
      <c r="L70" s="12" t="s">
        <v>33</v>
      </c>
      <c r="M70" s="12" t="s">
        <v>28</v>
      </c>
      <c r="O70" s="13">
        <f t="shared" si="5"/>
        <v>156.40799999999999</v>
      </c>
      <c r="P70" s="13">
        <f t="shared" si="6"/>
        <v>4</v>
      </c>
      <c r="R70" s="14"/>
      <c r="S70" s="15"/>
      <c r="T70" s="15"/>
      <c r="U70" s="15"/>
      <c r="V70" s="16"/>
    </row>
    <row r="71" spans="1:22" ht="15" customHeight="1" x14ac:dyDescent="0.35">
      <c r="A71" s="9" t="s">
        <v>130</v>
      </c>
      <c r="B71" s="9" t="s">
        <v>79</v>
      </c>
      <c r="C71" s="9" t="s">
        <v>110</v>
      </c>
      <c r="D71" s="9"/>
      <c r="E71" s="9" t="s">
        <v>58</v>
      </c>
      <c r="F71" s="9">
        <v>42</v>
      </c>
      <c r="G71" s="10" t="s">
        <v>81</v>
      </c>
      <c r="H71" s="10" t="s">
        <v>82</v>
      </c>
      <c r="I71" s="11">
        <v>931</v>
      </c>
      <c r="J71" s="11">
        <f t="shared" si="7"/>
        <v>2793</v>
      </c>
      <c r="K71" s="23">
        <v>3</v>
      </c>
      <c r="L71" s="12" t="s">
        <v>33</v>
      </c>
      <c r="M71" s="12" t="s">
        <v>28</v>
      </c>
      <c r="O71" s="13">
        <f t="shared" si="5"/>
        <v>117.306</v>
      </c>
      <c r="P71" s="13">
        <f t="shared" si="6"/>
        <v>3</v>
      </c>
      <c r="R71" s="14"/>
      <c r="S71" s="15"/>
      <c r="T71" s="15"/>
      <c r="U71" s="15"/>
      <c r="V71" s="16"/>
    </row>
    <row r="72" spans="1:22" ht="15" customHeight="1" x14ac:dyDescent="0.35">
      <c r="A72" s="9" t="s">
        <v>130</v>
      </c>
      <c r="B72" s="9" t="s">
        <v>79</v>
      </c>
      <c r="C72" s="9" t="s">
        <v>110</v>
      </c>
      <c r="D72" s="9"/>
      <c r="E72" s="9" t="s">
        <v>58</v>
      </c>
      <c r="F72" s="9">
        <v>40</v>
      </c>
      <c r="G72" s="10" t="s">
        <v>31</v>
      </c>
      <c r="H72" s="10" t="s">
        <v>61</v>
      </c>
      <c r="I72" s="11">
        <v>931</v>
      </c>
      <c r="J72" s="11">
        <f t="shared" si="7"/>
        <v>11172</v>
      </c>
      <c r="K72" s="23">
        <v>12</v>
      </c>
      <c r="L72" s="12" t="s">
        <v>33</v>
      </c>
      <c r="M72" s="12" t="s">
        <v>28</v>
      </c>
      <c r="O72" s="13">
        <f t="shared" si="5"/>
        <v>446.88</v>
      </c>
      <c r="P72" s="13">
        <f t="shared" si="6"/>
        <v>12</v>
      </c>
      <c r="R72" s="14"/>
      <c r="S72" s="15"/>
      <c r="T72" s="15"/>
      <c r="U72" s="15"/>
      <c r="V72" s="16"/>
    </row>
    <row r="73" spans="1:22" ht="15" customHeight="1" x14ac:dyDescent="0.35">
      <c r="A73" s="9" t="s">
        <v>130</v>
      </c>
      <c r="B73" s="9" t="s">
        <v>79</v>
      </c>
      <c r="C73" s="9" t="s">
        <v>110</v>
      </c>
      <c r="D73" s="9"/>
      <c r="E73" s="9" t="s">
        <v>58</v>
      </c>
      <c r="F73" s="9">
        <v>40</v>
      </c>
      <c r="G73" s="10" t="s">
        <v>25</v>
      </c>
      <c r="H73" s="10" t="s">
        <v>35</v>
      </c>
      <c r="I73" s="11">
        <v>931</v>
      </c>
      <c r="J73" s="11">
        <f t="shared" si="7"/>
        <v>27930</v>
      </c>
      <c r="K73" s="23">
        <v>30</v>
      </c>
      <c r="L73" s="12" t="s">
        <v>33</v>
      </c>
      <c r="M73" s="12" t="s">
        <v>28</v>
      </c>
      <c r="O73" s="13">
        <f t="shared" si="5"/>
        <v>1117.2</v>
      </c>
      <c r="P73" s="13">
        <f t="shared" si="6"/>
        <v>30</v>
      </c>
      <c r="R73" s="14"/>
      <c r="S73" s="15"/>
      <c r="T73" s="15"/>
      <c r="U73" s="15"/>
      <c r="V73" s="16"/>
    </row>
    <row r="74" spans="1:22" ht="15" customHeight="1" x14ac:dyDescent="0.35">
      <c r="A74" s="9" t="s">
        <v>130</v>
      </c>
      <c r="B74" s="9" t="s">
        <v>79</v>
      </c>
      <c r="C74" s="9" t="s">
        <v>110</v>
      </c>
      <c r="D74" s="9"/>
      <c r="E74" s="9" t="s">
        <v>58</v>
      </c>
      <c r="F74" s="9">
        <v>42</v>
      </c>
      <c r="G74" s="10" t="s">
        <v>83</v>
      </c>
      <c r="H74" s="10" t="s">
        <v>59</v>
      </c>
      <c r="I74" s="11">
        <v>931</v>
      </c>
      <c r="J74" s="11">
        <f t="shared" si="7"/>
        <v>3724</v>
      </c>
      <c r="K74" s="23">
        <v>4</v>
      </c>
      <c r="L74" s="12" t="s">
        <v>27</v>
      </c>
      <c r="M74" s="12" t="s">
        <v>28</v>
      </c>
      <c r="O74" s="13">
        <f t="shared" si="5"/>
        <v>156.40799999999999</v>
      </c>
      <c r="P74" s="13">
        <f t="shared" si="6"/>
        <v>4</v>
      </c>
      <c r="R74" s="14"/>
      <c r="S74" s="15"/>
      <c r="T74" s="15"/>
      <c r="U74" s="15"/>
      <c r="V74" s="16"/>
    </row>
    <row r="75" spans="1:22" ht="15" customHeight="1" x14ac:dyDescent="0.35">
      <c r="A75" s="9" t="s">
        <v>130</v>
      </c>
      <c r="B75" s="9" t="s">
        <v>79</v>
      </c>
      <c r="C75" s="9" t="s">
        <v>110</v>
      </c>
      <c r="D75" s="9"/>
      <c r="E75" s="9" t="s">
        <v>58</v>
      </c>
      <c r="F75" s="9">
        <v>42</v>
      </c>
      <c r="G75" s="10" t="s">
        <v>41</v>
      </c>
      <c r="H75" s="10" t="s">
        <v>64</v>
      </c>
      <c r="I75" s="11">
        <v>931</v>
      </c>
      <c r="J75" s="11">
        <f t="shared" si="7"/>
        <v>9310</v>
      </c>
      <c r="K75" s="23">
        <v>10</v>
      </c>
      <c r="L75" s="12" t="s">
        <v>27</v>
      </c>
      <c r="M75" s="12" t="s">
        <v>28</v>
      </c>
      <c r="O75" s="13">
        <f t="shared" si="5"/>
        <v>391.02</v>
      </c>
      <c r="P75" s="13">
        <f t="shared" si="6"/>
        <v>10</v>
      </c>
      <c r="R75" s="14"/>
      <c r="S75" s="15"/>
      <c r="T75" s="15"/>
      <c r="U75" s="15"/>
      <c r="V75" s="16"/>
    </row>
    <row r="76" spans="1:22" ht="15" customHeight="1" x14ac:dyDescent="0.35">
      <c r="A76" s="9" t="s">
        <v>130</v>
      </c>
      <c r="B76" s="9" t="s">
        <v>79</v>
      </c>
      <c r="C76" s="9" t="s">
        <v>110</v>
      </c>
      <c r="D76" s="9"/>
      <c r="E76" s="9" t="s">
        <v>58</v>
      </c>
      <c r="F76" s="9">
        <v>42</v>
      </c>
      <c r="G76" s="10" t="s">
        <v>54</v>
      </c>
      <c r="H76" s="10" t="s">
        <v>26</v>
      </c>
      <c r="I76" s="32">
        <v>931</v>
      </c>
      <c r="J76" s="11">
        <f t="shared" si="7"/>
        <v>6517</v>
      </c>
      <c r="K76" s="23">
        <v>7</v>
      </c>
      <c r="L76" s="12" t="s">
        <v>27</v>
      </c>
      <c r="M76" s="12" t="s">
        <v>28</v>
      </c>
      <c r="O76" s="13">
        <f t="shared" si="5"/>
        <v>273.714</v>
      </c>
      <c r="P76" s="13">
        <f t="shared" si="6"/>
        <v>7</v>
      </c>
      <c r="R76" s="14"/>
      <c r="S76" s="15"/>
      <c r="T76" s="15"/>
      <c r="U76" s="15"/>
      <c r="V76" s="16"/>
    </row>
    <row r="77" spans="1:22" ht="15" customHeight="1" x14ac:dyDescent="0.35">
      <c r="A77" s="9" t="s">
        <v>131</v>
      </c>
      <c r="B77" s="9" t="s">
        <v>86</v>
      </c>
      <c r="C77" s="9" t="s">
        <v>110</v>
      </c>
      <c r="D77" s="9"/>
      <c r="E77" s="9" t="s">
        <v>87</v>
      </c>
      <c r="F77" s="18">
        <v>8.135079999999995</v>
      </c>
      <c r="G77" s="10"/>
      <c r="H77" s="10"/>
      <c r="I77" s="19"/>
      <c r="J77" s="11">
        <v>30000</v>
      </c>
      <c r="K77" s="23"/>
      <c r="L77" s="12"/>
      <c r="M77" s="12" t="s">
        <v>88</v>
      </c>
      <c r="O77" s="13">
        <f t="shared" si="5"/>
        <v>244.05239999999984</v>
      </c>
      <c r="P77" s="13">
        <f t="shared" si="6"/>
        <v>0</v>
      </c>
      <c r="R77" s="14"/>
      <c r="S77" s="15"/>
      <c r="T77" s="15"/>
      <c r="U77" s="15"/>
      <c r="V77" s="16"/>
    </row>
    <row r="78" spans="1:22" ht="15" customHeight="1" x14ac:dyDescent="0.35">
      <c r="A78" s="9" t="s">
        <v>131</v>
      </c>
      <c r="B78" s="9" t="s">
        <v>86</v>
      </c>
      <c r="C78" s="9" t="s">
        <v>110</v>
      </c>
      <c r="D78" s="9"/>
      <c r="E78" s="9" t="s">
        <v>89</v>
      </c>
      <c r="F78" s="18">
        <v>398.33839999999998</v>
      </c>
      <c r="G78" s="10"/>
      <c r="H78" s="10"/>
      <c r="I78" s="19"/>
      <c r="J78" s="11">
        <v>2000</v>
      </c>
      <c r="K78" s="23"/>
      <c r="L78" s="12"/>
      <c r="M78" s="12" t="s">
        <v>88</v>
      </c>
      <c r="O78" s="13">
        <f t="shared" si="5"/>
        <v>796.67679999999996</v>
      </c>
      <c r="P78" s="13">
        <f t="shared" si="6"/>
        <v>0</v>
      </c>
      <c r="R78" s="14"/>
      <c r="S78" s="15"/>
      <c r="T78" s="15"/>
      <c r="U78" s="15"/>
      <c r="V78" s="16"/>
    </row>
    <row r="79" spans="1:22" ht="15" customHeight="1" thickBot="1" x14ac:dyDescent="0.4">
      <c r="A79" s="9" t="s">
        <v>132</v>
      </c>
      <c r="B79" s="9" t="s">
        <v>100</v>
      </c>
      <c r="C79" s="9" t="s">
        <v>110</v>
      </c>
      <c r="D79" s="9"/>
      <c r="E79" s="9" t="s">
        <v>101</v>
      </c>
      <c r="F79" s="18">
        <v>508.97548799999947</v>
      </c>
      <c r="G79" s="10"/>
      <c r="H79" s="10"/>
      <c r="I79" s="19"/>
      <c r="J79" s="11">
        <v>200</v>
      </c>
      <c r="K79" s="23"/>
      <c r="L79" s="12"/>
      <c r="M79" s="12" t="s">
        <v>102</v>
      </c>
      <c r="O79" s="13">
        <f t="shared" ref="O79:O98" si="8">(F79*J79)/1000</f>
        <v>101.79509759999989</v>
      </c>
      <c r="P79" s="13">
        <f t="shared" ref="P79:P98" si="9">K79</f>
        <v>0</v>
      </c>
      <c r="R79" s="14"/>
      <c r="S79" s="15"/>
      <c r="T79" s="15"/>
      <c r="U79" s="15"/>
      <c r="V79" s="16"/>
    </row>
    <row r="80" spans="1:22" s="49" customFormat="1" ht="15" customHeight="1" thickBot="1" x14ac:dyDescent="0.4">
      <c r="A80" s="35">
        <v>10</v>
      </c>
      <c r="B80" s="36"/>
      <c r="C80" s="37"/>
      <c r="D80" s="38"/>
      <c r="E80" s="38"/>
      <c r="F80" s="39"/>
      <c r="G80" s="40"/>
      <c r="H80" s="40"/>
      <c r="I80" s="41"/>
      <c r="J80" s="42"/>
      <c r="K80" s="38">
        <f>SUM(K70:K79)</f>
        <v>70</v>
      </c>
      <c r="L80" s="43"/>
      <c r="M80" s="44"/>
      <c r="N80" s="36" t="str">
        <f>IFERROR(VLOOKUP(A80,[1]WHouse!$B$4:$G$18,6,0),"")</f>
        <v/>
      </c>
      <c r="O80" s="46">
        <f>SUM(O70:O79)</f>
        <v>3801.4602975999992</v>
      </c>
      <c r="P80" s="46">
        <f>SUM(P70:P79)</f>
        <v>70</v>
      </c>
      <c r="Q80" s="45">
        <f>SUM(O80:P80)</f>
        <v>3871.4602975999992</v>
      </c>
      <c r="R80" s="47">
        <f>Q80-(Q80*0.04)</f>
        <v>3716.601885695999</v>
      </c>
      <c r="S80" s="47">
        <f>Q80+(Q80*0.04)</f>
        <v>4026.3187095039993</v>
      </c>
      <c r="T80" s="47">
        <f>R80-(0.06*R80)</f>
        <v>3493.6057725542391</v>
      </c>
      <c r="U80" s="47">
        <f>S80+(0.06*S80)</f>
        <v>4267.897832074239</v>
      </c>
      <c r="V80" s="48">
        <f>S80+(0.1*S80)</f>
        <v>4428.9505804543996</v>
      </c>
    </row>
    <row r="81" spans="1:22" ht="15" customHeight="1" x14ac:dyDescent="0.35">
      <c r="A81" s="9" t="s">
        <v>133</v>
      </c>
      <c r="B81" s="9" t="s">
        <v>23</v>
      </c>
      <c r="C81" s="9" t="s">
        <v>106</v>
      </c>
      <c r="D81" s="9"/>
      <c r="E81" s="9" t="s">
        <v>24</v>
      </c>
      <c r="F81" s="9">
        <v>30</v>
      </c>
      <c r="G81" s="10" t="s">
        <v>25</v>
      </c>
      <c r="H81" s="10" t="s">
        <v>26</v>
      </c>
      <c r="I81" s="32">
        <v>1152</v>
      </c>
      <c r="J81" s="11">
        <f t="shared" ref="J81:J88" si="10">I81*K81</f>
        <v>11520</v>
      </c>
      <c r="K81" s="20">
        <v>10</v>
      </c>
      <c r="L81" s="12" t="s">
        <v>27</v>
      </c>
      <c r="M81" s="12" t="s">
        <v>28</v>
      </c>
      <c r="O81" s="13">
        <f t="shared" si="8"/>
        <v>345.6</v>
      </c>
      <c r="P81" s="13">
        <f t="shared" si="9"/>
        <v>10</v>
      </c>
      <c r="R81" s="14"/>
      <c r="S81" s="15"/>
      <c r="T81" s="15"/>
      <c r="U81" s="15"/>
      <c r="V81" s="16"/>
    </row>
    <row r="82" spans="1:22" ht="15" customHeight="1" x14ac:dyDescent="0.35">
      <c r="A82" s="9" t="s">
        <v>133</v>
      </c>
      <c r="B82" s="9" t="s">
        <v>23</v>
      </c>
      <c r="C82" s="9" t="s">
        <v>106</v>
      </c>
      <c r="D82" s="9"/>
      <c r="E82" s="9" t="s">
        <v>24</v>
      </c>
      <c r="F82" s="9">
        <v>62</v>
      </c>
      <c r="G82" s="10" t="s">
        <v>29</v>
      </c>
      <c r="H82" s="10" t="s">
        <v>30</v>
      </c>
      <c r="I82" s="32">
        <v>1152</v>
      </c>
      <c r="J82" s="11">
        <f t="shared" si="10"/>
        <v>5760</v>
      </c>
      <c r="K82" s="20">
        <v>5</v>
      </c>
      <c r="L82" s="12" t="s">
        <v>27</v>
      </c>
      <c r="M82" s="12" t="s">
        <v>28</v>
      </c>
      <c r="O82" s="13">
        <f t="shared" si="8"/>
        <v>357.12</v>
      </c>
      <c r="P82" s="13">
        <f t="shared" si="9"/>
        <v>5</v>
      </c>
      <c r="R82" s="14"/>
      <c r="S82" s="15"/>
      <c r="T82" s="15"/>
      <c r="U82" s="15"/>
      <c r="V82" s="16"/>
    </row>
    <row r="83" spans="1:22" ht="15" customHeight="1" x14ac:dyDescent="0.35">
      <c r="A83" s="9" t="s">
        <v>133</v>
      </c>
      <c r="B83" s="9" t="s">
        <v>23</v>
      </c>
      <c r="C83" s="9" t="s">
        <v>106</v>
      </c>
      <c r="D83" s="9"/>
      <c r="E83" s="9" t="s">
        <v>24</v>
      </c>
      <c r="F83" s="9">
        <v>62</v>
      </c>
      <c r="G83" s="10" t="s">
        <v>31</v>
      </c>
      <c r="H83" s="10" t="s">
        <v>32</v>
      </c>
      <c r="I83" s="32">
        <v>1152</v>
      </c>
      <c r="J83" s="11">
        <f t="shared" si="10"/>
        <v>5760</v>
      </c>
      <c r="K83" s="20">
        <v>5</v>
      </c>
      <c r="L83" s="12" t="s">
        <v>33</v>
      </c>
      <c r="M83" s="12" t="s">
        <v>28</v>
      </c>
      <c r="O83" s="13">
        <f t="shared" si="8"/>
        <v>357.12</v>
      </c>
      <c r="P83" s="13">
        <f t="shared" si="9"/>
        <v>5</v>
      </c>
      <c r="R83" s="14"/>
      <c r="S83" s="15"/>
      <c r="T83" s="15"/>
      <c r="U83" s="15"/>
      <c r="V83" s="16"/>
    </row>
    <row r="84" spans="1:22" ht="15" customHeight="1" x14ac:dyDescent="0.35">
      <c r="A84" s="9" t="s">
        <v>133</v>
      </c>
      <c r="B84" s="9" t="s">
        <v>23</v>
      </c>
      <c r="C84" s="9" t="s">
        <v>106</v>
      </c>
      <c r="D84" s="9"/>
      <c r="E84" s="9" t="s">
        <v>24</v>
      </c>
      <c r="F84" s="9">
        <v>62</v>
      </c>
      <c r="G84" s="10" t="s">
        <v>34</v>
      </c>
      <c r="H84" s="10" t="s">
        <v>35</v>
      </c>
      <c r="I84" s="32">
        <v>1152</v>
      </c>
      <c r="J84" s="11">
        <f t="shared" si="10"/>
        <v>5760</v>
      </c>
      <c r="K84" s="20">
        <v>5</v>
      </c>
      <c r="L84" s="12" t="s">
        <v>33</v>
      </c>
      <c r="M84" s="12" t="s">
        <v>28</v>
      </c>
      <c r="O84" s="13">
        <f t="shared" si="8"/>
        <v>357.12</v>
      </c>
      <c r="P84" s="13">
        <f t="shared" si="9"/>
        <v>5</v>
      </c>
      <c r="R84" s="14"/>
      <c r="S84" s="15"/>
      <c r="T84" s="15"/>
      <c r="U84" s="15"/>
      <c r="V84" s="16"/>
    </row>
    <row r="85" spans="1:22" ht="15" customHeight="1" x14ac:dyDescent="0.35">
      <c r="A85" s="9" t="s">
        <v>133</v>
      </c>
      <c r="B85" s="9" t="s">
        <v>23</v>
      </c>
      <c r="C85" s="9" t="s">
        <v>106</v>
      </c>
      <c r="D85" s="9"/>
      <c r="E85" s="9" t="s">
        <v>36</v>
      </c>
      <c r="F85" s="9">
        <v>78</v>
      </c>
      <c r="G85" s="10" t="s">
        <v>37</v>
      </c>
      <c r="H85" s="10" t="s">
        <v>35</v>
      </c>
      <c r="I85" s="32">
        <v>390</v>
      </c>
      <c r="J85" s="11">
        <f t="shared" si="10"/>
        <v>9750</v>
      </c>
      <c r="K85" s="20">
        <v>25</v>
      </c>
      <c r="L85" s="12" t="s">
        <v>27</v>
      </c>
      <c r="M85" s="12" t="s">
        <v>28</v>
      </c>
      <c r="O85" s="13">
        <f t="shared" si="8"/>
        <v>760.5</v>
      </c>
      <c r="P85" s="13">
        <f t="shared" si="9"/>
        <v>25</v>
      </c>
      <c r="R85" s="14"/>
      <c r="S85" s="15"/>
      <c r="T85" s="15"/>
      <c r="U85" s="15"/>
      <c r="V85" s="16"/>
    </row>
    <row r="86" spans="1:22" ht="15" customHeight="1" x14ac:dyDescent="0.35">
      <c r="A86" s="9" t="s">
        <v>133</v>
      </c>
      <c r="B86" s="9" t="s">
        <v>23</v>
      </c>
      <c r="C86" s="9" t="s">
        <v>106</v>
      </c>
      <c r="D86" s="9"/>
      <c r="E86" s="9" t="s">
        <v>38</v>
      </c>
      <c r="F86" s="9">
        <v>42</v>
      </c>
      <c r="G86" s="10" t="s">
        <v>39</v>
      </c>
      <c r="H86" s="10" t="s">
        <v>40</v>
      </c>
      <c r="I86" s="32">
        <v>931</v>
      </c>
      <c r="J86" s="11">
        <f t="shared" si="10"/>
        <v>12103</v>
      </c>
      <c r="K86" s="20">
        <v>13</v>
      </c>
      <c r="L86" s="12" t="s">
        <v>27</v>
      </c>
      <c r="M86" s="12" t="s">
        <v>28</v>
      </c>
      <c r="O86" s="13">
        <f t="shared" si="8"/>
        <v>508.32600000000002</v>
      </c>
      <c r="P86" s="13">
        <f t="shared" si="9"/>
        <v>13</v>
      </c>
      <c r="R86" s="14"/>
      <c r="S86" s="15"/>
      <c r="T86" s="15"/>
      <c r="U86" s="15"/>
      <c r="V86" s="16"/>
    </row>
    <row r="87" spans="1:22" ht="15" customHeight="1" x14ac:dyDescent="0.35">
      <c r="A87" s="9" t="s">
        <v>133</v>
      </c>
      <c r="B87" s="9" t="s">
        <v>23</v>
      </c>
      <c r="C87" s="9" t="s">
        <v>106</v>
      </c>
      <c r="D87" s="9"/>
      <c r="E87" s="9" t="s">
        <v>38</v>
      </c>
      <c r="F87" s="9">
        <v>42</v>
      </c>
      <c r="G87" s="10" t="s">
        <v>41</v>
      </c>
      <c r="H87" s="10" t="s">
        <v>42</v>
      </c>
      <c r="I87" s="32">
        <v>931</v>
      </c>
      <c r="J87" s="11">
        <f t="shared" si="10"/>
        <v>4655</v>
      </c>
      <c r="K87" s="20">
        <v>5</v>
      </c>
      <c r="L87" s="12" t="s">
        <v>27</v>
      </c>
      <c r="M87" s="12" t="s">
        <v>28</v>
      </c>
      <c r="O87" s="13">
        <f t="shared" si="8"/>
        <v>195.51</v>
      </c>
      <c r="P87" s="13">
        <f t="shared" si="9"/>
        <v>5</v>
      </c>
      <c r="R87" s="14"/>
      <c r="S87" s="15"/>
      <c r="T87" s="15"/>
      <c r="U87" s="15"/>
      <c r="V87" s="16"/>
    </row>
    <row r="88" spans="1:22" ht="15" customHeight="1" thickBot="1" x14ac:dyDescent="0.4">
      <c r="A88" s="9" t="s">
        <v>134</v>
      </c>
      <c r="B88" s="9" t="s">
        <v>57</v>
      </c>
      <c r="C88" s="9" t="s">
        <v>106</v>
      </c>
      <c r="D88" s="9"/>
      <c r="E88" s="9" t="s">
        <v>60</v>
      </c>
      <c r="F88" s="9">
        <v>62</v>
      </c>
      <c r="G88" s="10" t="s">
        <v>25</v>
      </c>
      <c r="H88" s="10" t="s">
        <v>61</v>
      </c>
      <c r="I88" s="32">
        <v>380</v>
      </c>
      <c r="J88" s="11">
        <f t="shared" si="10"/>
        <v>19380</v>
      </c>
      <c r="K88" s="20">
        <v>51</v>
      </c>
      <c r="L88" s="12" t="s">
        <v>33</v>
      </c>
      <c r="M88" s="12" t="s">
        <v>50</v>
      </c>
      <c r="O88" s="13">
        <f t="shared" si="8"/>
        <v>1201.56</v>
      </c>
      <c r="P88" s="13">
        <f t="shared" si="9"/>
        <v>51</v>
      </c>
      <c r="R88" s="14"/>
      <c r="S88" s="15"/>
      <c r="T88" s="15"/>
      <c r="U88" s="15"/>
      <c r="V88" s="16"/>
    </row>
    <row r="89" spans="1:22" s="49" customFormat="1" ht="15" customHeight="1" thickBot="1" x14ac:dyDescent="0.4">
      <c r="A89" s="35">
        <v>11</v>
      </c>
      <c r="B89" s="36"/>
      <c r="C89" s="37"/>
      <c r="D89" s="38"/>
      <c r="E89" s="38"/>
      <c r="F89" s="39"/>
      <c r="G89" s="40"/>
      <c r="H89" s="40"/>
      <c r="I89" s="41"/>
      <c r="J89" s="42"/>
      <c r="K89" s="38">
        <f>SUM(K81:K88)</f>
        <v>119</v>
      </c>
      <c r="L89" s="43"/>
      <c r="M89" s="44"/>
      <c r="N89" s="36" t="str">
        <f>IFERROR(VLOOKUP(A89,[1]WHouse!$B$4:$G$18,6,0),"")</f>
        <v/>
      </c>
      <c r="O89" s="46">
        <f>SUM(O81:O88)</f>
        <v>4082.8560000000002</v>
      </c>
      <c r="P89" s="46">
        <f>SUM(P81:P88)</f>
        <v>119</v>
      </c>
      <c r="Q89" s="45">
        <f>SUM(O89:P89)</f>
        <v>4201.8559999999998</v>
      </c>
      <c r="R89" s="47">
        <f>Q89-(Q89*0.04)</f>
        <v>4033.7817599999998</v>
      </c>
      <c r="S89" s="47">
        <f>Q89+(Q89*0.04)</f>
        <v>4369.9302399999997</v>
      </c>
      <c r="T89" s="47">
        <f>R89-(0.06*R89)</f>
        <v>3791.7548543999997</v>
      </c>
      <c r="U89" s="47">
        <f>S89+(0.06*S89)</f>
        <v>4632.1260543999997</v>
      </c>
      <c r="V89" s="48">
        <f>S89+(0.1*S89)</f>
        <v>4806.923264</v>
      </c>
    </row>
    <row r="90" spans="1:22" ht="15" customHeight="1" x14ac:dyDescent="0.35">
      <c r="A90" s="51" t="s">
        <v>137</v>
      </c>
      <c r="B90" s="51" t="s">
        <v>75</v>
      </c>
      <c r="C90" s="51" t="s">
        <v>107</v>
      </c>
      <c r="D90" s="51"/>
      <c r="E90" s="51" t="s">
        <v>58</v>
      </c>
      <c r="F90" s="51">
        <v>38</v>
      </c>
      <c r="G90" s="52" t="s">
        <v>54</v>
      </c>
      <c r="H90" s="52" t="s">
        <v>67</v>
      </c>
      <c r="I90" s="53">
        <v>980</v>
      </c>
      <c r="J90" s="53">
        <f t="shared" ref="J90:J93" si="11">I90*K90</f>
        <v>19600</v>
      </c>
      <c r="K90" s="51">
        <v>20</v>
      </c>
      <c r="L90" s="54" t="s">
        <v>33</v>
      </c>
      <c r="M90" s="54" t="s">
        <v>28</v>
      </c>
      <c r="O90" s="13">
        <f t="shared" ref="O90:O93" si="12">(F90*J90)/1000</f>
        <v>744.8</v>
      </c>
      <c r="P90" s="13">
        <f t="shared" ref="P90:P93" si="13">K90</f>
        <v>20</v>
      </c>
      <c r="R90" s="14"/>
      <c r="S90" s="15"/>
      <c r="T90" s="15"/>
      <c r="U90" s="15"/>
      <c r="V90" s="16"/>
    </row>
    <row r="91" spans="1:22" ht="15" customHeight="1" x14ac:dyDescent="0.35">
      <c r="A91" s="51" t="s">
        <v>137</v>
      </c>
      <c r="B91" s="51" t="s">
        <v>75</v>
      </c>
      <c r="C91" s="51" t="s">
        <v>107</v>
      </c>
      <c r="D91" s="51"/>
      <c r="E91" s="51" t="s">
        <v>58</v>
      </c>
      <c r="F91" s="51">
        <v>38</v>
      </c>
      <c r="G91" s="52" t="s">
        <v>63</v>
      </c>
      <c r="H91" s="52" t="s">
        <v>35</v>
      </c>
      <c r="I91" s="53">
        <v>980</v>
      </c>
      <c r="J91" s="53">
        <f t="shared" si="11"/>
        <v>17640</v>
      </c>
      <c r="K91" s="51">
        <v>18</v>
      </c>
      <c r="L91" s="54" t="s">
        <v>33</v>
      </c>
      <c r="M91" s="54" t="s">
        <v>28</v>
      </c>
      <c r="O91" s="13">
        <f t="shared" si="12"/>
        <v>670.32</v>
      </c>
      <c r="P91" s="13">
        <f t="shared" si="13"/>
        <v>18</v>
      </c>
      <c r="Q91" s="34"/>
      <c r="R91" s="14"/>
      <c r="S91" s="15"/>
      <c r="T91" s="15"/>
      <c r="U91" s="15"/>
      <c r="V91" s="16"/>
    </row>
    <row r="92" spans="1:22" ht="15" customHeight="1" x14ac:dyDescent="0.35">
      <c r="A92" s="51" t="s">
        <v>137</v>
      </c>
      <c r="B92" s="51" t="s">
        <v>75</v>
      </c>
      <c r="C92" s="51" t="s">
        <v>107</v>
      </c>
      <c r="D92" s="51"/>
      <c r="E92" s="51" t="s">
        <v>58</v>
      </c>
      <c r="F92" s="51">
        <v>38</v>
      </c>
      <c r="G92" s="52" t="s">
        <v>41</v>
      </c>
      <c r="H92" s="52" t="s">
        <v>35</v>
      </c>
      <c r="I92" s="53">
        <v>980</v>
      </c>
      <c r="J92" s="53">
        <f t="shared" si="11"/>
        <v>19600</v>
      </c>
      <c r="K92" s="51">
        <v>20</v>
      </c>
      <c r="L92" s="54" t="s">
        <v>33</v>
      </c>
      <c r="M92" s="54" t="s">
        <v>28</v>
      </c>
      <c r="O92" s="13">
        <f t="shared" si="12"/>
        <v>744.8</v>
      </c>
      <c r="P92" s="13">
        <f t="shared" si="13"/>
        <v>20</v>
      </c>
      <c r="R92" s="14"/>
      <c r="S92" s="15"/>
      <c r="T92" s="15"/>
      <c r="U92" s="15"/>
      <c r="V92" s="16"/>
    </row>
    <row r="93" spans="1:22" ht="15" customHeight="1" thickBot="1" x14ac:dyDescent="0.4">
      <c r="A93" s="51" t="s">
        <v>138</v>
      </c>
      <c r="B93" s="55" t="s">
        <v>135</v>
      </c>
      <c r="C93" s="51" t="s">
        <v>107</v>
      </c>
      <c r="D93" s="51"/>
      <c r="E93" s="51" t="s">
        <v>58</v>
      </c>
      <c r="F93" s="55">
        <v>38</v>
      </c>
      <c r="G93" s="56" t="s">
        <v>136</v>
      </c>
      <c r="H93" s="56" t="s">
        <v>35</v>
      </c>
      <c r="I93" s="57">
        <v>1029</v>
      </c>
      <c r="J93" s="53">
        <f t="shared" si="11"/>
        <v>24696</v>
      </c>
      <c r="K93" s="51">
        <v>24</v>
      </c>
      <c r="L93" s="54" t="s">
        <v>33</v>
      </c>
      <c r="M93" s="54" t="s">
        <v>28</v>
      </c>
      <c r="O93" s="13">
        <f t="shared" si="12"/>
        <v>938.44799999999998</v>
      </c>
      <c r="P93" s="13">
        <f t="shared" si="13"/>
        <v>24</v>
      </c>
      <c r="R93" s="14"/>
      <c r="S93" s="15"/>
      <c r="T93" s="15"/>
      <c r="U93" s="15"/>
      <c r="V93" s="16"/>
    </row>
    <row r="94" spans="1:22" s="49" customFormat="1" ht="15" customHeight="1" thickBot="1" x14ac:dyDescent="0.4">
      <c r="A94" s="35">
        <v>12</v>
      </c>
      <c r="B94" s="36"/>
      <c r="C94" s="37"/>
      <c r="D94" s="38"/>
      <c r="E94" s="38"/>
      <c r="F94" s="39"/>
      <c r="G94" s="40"/>
      <c r="H94" s="40"/>
      <c r="I94" s="41"/>
      <c r="J94" s="42"/>
      <c r="K94" s="38">
        <f>SUM(K90:K93)</f>
        <v>82</v>
      </c>
      <c r="L94" s="43"/>
      <c r="M94" s="44"/>
      <c r="N94" s="36" t="str">
        <f>IFERROR(VLOOKUP(A94,[1]WHouse!$B$4:$G$18,6,0),"")</f>
        <v/>
      </c>
      <c r="O94" s="46">
        <f>SUM(O90:O93)</f>
        <v>3098.3679999999999</v>
      </c>
      <c r="P94" s="46">
        <f>SUM(P90:P93)</f>
        <v>82</v>
      </c>
      <c r="Q94" s="45">
        <f>SUM(O94:P94)</f>
        <v>3180.3679999999999</v>
      </c>
      <c r="R94" s="47">
        <f>Q94-(Q94*0.04)</f>
        <v>3053.15328</v>
      </c>
      <c r="S94" s="47">
        <f>Q94+(Q94*0.04)</f>
        <v>3307.5827199999999</v>
      </c>
      <c r="T94" s="47">
        <f>R94-(0.06*R94)</f>
        <v>2869.9640832</v>
      </c>
      <c r="U94" s="47">
        <f>S94+(0.06*S94)</f>
        <v>3506.0376831999997</v>
      </c>
      <c r="V94" s="48">
        <f>S94+(0.1*S94)</f>
        <v>3638.3409919999999</v>
      </c>
    </row>
    <row r="95" spans="1:22" ht="15" customHeight="1" x14ac:dyDescent="0.35">
      <c r="A95" s="9"/>
      <c r="B95" s="9"/>
      <c r="C95" s="9"/>
      <c r="D95" s="9"/>
      <c r="E95" s="9"/>
      <c r="F95" s="9"/>
      <c r="G95" s="10"/>
      <c r="H95" s="10"/>
      <c r="I95" s="11"/>
      <c r="J95" s="11"/>
      <c r="K95" s="9"/>
      <c r="L95" s="12"/>
      <c r="M95" s="12"/>
      <c r="O95" s="13">
        <f t="shared" si="8"/>
        <v>0</v>
      </c>
      <c r="P95" s="13">
        <f t="shared" si="9"/>
        <v>0</v>
      </c>
      <c r="R95" s="14"/>
      <c r="S95" s="15"/>
      <c r="T95" s="15"/>
      <c r="U95" s="15"/>
      <c r="V95" s="16"/>
    </row>
    <row r="96" spans="1:22" ht="15" customHeight="1" x14ac:dyDescent="0.35">
      <c r="A96" s="9"/>
      <c r="B96" s="9"/>
      <c r="C96" s="9"/>
      <c r="D96" s="9"/>
      <c r="E96" s="9"/>
      <c r="F96" s="9"/>
      <c r="G96" s="10"/>
      <c r="H96" s="10"/>
      <c r="I96" s="11"/>
      <c r="J96" s="11"/>
      <c r="K96" s="9"/>
      <c r="L96" s="12"/>
      <c r="M96" s="12"/>
      <c r="O96" s="13">
        <f t="shared" si="8"/>
        <v>0</v>
      </c>
      <c r="P96" s="13">
        <f t="shared" si="9"/>
        <v>0</v>
      </c>
      <c r="R96" s="14"/>
      <c r="S96" s="15"/>
      <c r="T96" s="15"/>
      <c r="U96" s="15"/>
      <c r="V96" s="16"/>
    </row>
    <row r="97" spans="1:22" ht="15" customHeight="1" x14ac:dyDescent="0.35">
      <c r="A97" s="9"/>
      <c r="B97" s="9"/>
      <c r="C97" s="9"/>
      <c r="D97" s="9"/>
      <c r="E97" s="9"/>
      <c r="F97" s="9"/>
      <c r="G97" s="10"/>
      <c r="H97" s="10"/>
      <c r="I97" s="11"/>
      <c r="J97" s="11"/>
      <c r="K97" s="9"/>
      <c r="L97" s="12"/>
      <c r="M97" s="12"/>
      <c r="O97" s="13">
        <f t="shared" si="8"/>
        <v>0</v>
      </c>
      <c r="P97" s="13">
        <f t="shared" si="9"/>
        <v>0</v>
      </c>
      <c r="R97" s="14"/>
      <c r="S97" s="15"/>
      <c r="T97" s="15"/>
      <c r="U97" s="15"/>
      <c r="V97" s="16"/>
    </row>
    <row r="98" spans="1:22" ht="15" customHeight="1" x14ac:dyDescent="0.35">
      <c r="A98" s="9"/>
      <c r="B98" s="9"/>
      <c r="C98" s="9"/>
      <c r="D98" s="9"/>
      <c r="E98" s="9"/>
      <c r="F98" s="9"/>
      <c r="G98" s="10"/>
      <c r="H98" s="10"/>
      <c r="I98" s="11"/>
      <c r="J98" s="11"/>
      <c r="K98" s="9"/>
      <c r="L98" s="12"/>
      <c r="M98" s="12"/>
      <c r="O98" s="13">
        <f t="shared" si="8"/>
        <v>0</v>
      </c>
      <c r="P98" s="13">
        <f t="shared" si="9"/>
        <v>0</v>
      </c>
      <c r="R98" s="14"/>
      <c r="S98" s="15"/>
      <c r="T98" s="15"/>
      <c r="U98" s="15"/>
      <c r="V98" s="16"/>
    </row>
  </sheetData>
  <autoFilter ref="A5:AA98" xr:uid="{55AF1912-8BD4-48FE-87B7-C763A6CEC3A3}">
    <sortState xmlns:xlrd2="http://schemas.microsoft.com/office/spreadsheetml/2017/richdata2" ref="A7:V98">
      <sortCondition ref="A5:A98"/>
    </sortState>
  </autoFilter>
  <mergeCells count="21">
    <mergeCell ref="P4:P5"/>
    <mergeCell ref="Q4:Q5"/>
    <mergeCell ref="R4:S4"/>
    <mergeCell ref="T4:U4"/>
    <mergeCell ref="V4:V5"/>
    <mergeCell ref="O4:O5"/>
    <mergeCell ref="A1:M2"/>
    <mergeCell ref="A3:M3"/>
    <mergeCell ref="A4:A5"/>
    <mergeCell ref="B4:B5"/>
    <mergeCell ref="C4:C5"/>
    <mergeCell ref="D4:D5"/>
    <mergeCell ref="E4:F4"/>
    <mergeCell ref="G4:G5"/>
    <mergeCell ref="H4:H5"/>
    <mergeCell ref="I4:I5"/>
    <mergeCell ref="J4:J5"/>
    <mergeCell ref="K4:K5"/>
    <mergeCell ref="L4:L5"/>
    <mergeCell ref="M4:M5"/>
    <mergeCell ref="N4:N5"/>
  </mergeCells>
  <pageMargins left="0.75" right="0.75" top="1" bottom="1" header="0" footer="0"/>
  <pageSetup paperSize="9" orientation="portrait" r:id="rId1"/>
  <legacyDrawing r:id="rId2"/>
</worksheet>
</file>

<file path=docMetadata/LabelInfo.xml><?xml version="1.0" encoding="utf-8"?>
<clbl:labelList xmlns:clbl="http://schemas.microsoft.com/office/2020/mipLabelMetadata">
  <clbl:label id="{93fd1cce-d1bd-42e0-9dbf-c622a6083db3}" enabled="0" method="" siteId="{93fd1cce-d1bd-42e0-9dbf-c622a6083d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Sabar</dc:creator>
  <cp:lastModifiedBy>Ali Sabar</cp:lastModifiedBy>
  <dcterms:created xsi:type="dcterms:W3CDTF">2026-07-02T08:34:35Z</dcterms:created>
  <dcterms:modified xsi:type="dcterms:W3CDTF">2026-07-03T07:04:45Z</dcterms:modified>
</cp:coreProperties>
</file>